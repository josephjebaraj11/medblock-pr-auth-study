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License Pricing &amp; Breakeven" sheetId="2" r:id="rId5"/>
    <sheet state="visible" name="Methodology" sheetId="3" r:id="rId6"/>
    <sheet state="visible" name="Assumptions" sheetId="4" r:id="rId7"/>
    <sheet state="visible" name="US National Model" sheetId="5" r:id="rId8"/>
    <sheet state="visible" name="US State Breakdown" sheetId="6" r:id="rId9"/>
    <sheet state="visible" name="Canada National Model" sheetId="7" r:id="rId10"/>
    <sheet state="visible" name="Canada Province Breakdown" sheetId="8" r:id="rId11"/>
  </sheets>
  <definedNames/>
  <calcPr/>
  <extLst>
    <ext uri="GoogleSheetsCustomDataVersion2">
      <go:sheetsCustomData xmlns:go="http://customooxmlschemas.google.com/" r:id="rId12" roundtripDataChecksum="QES5nCEeNEK41XGaY8SegVkUGtpqZ5NXvou0Wi1B1YU="/>
    </ext>
  </extLst>
</workbook>
</file>

<file path=xl/sharedStrings.xml><?xml version="1.0" encoding="utf-8"?>
<sst xmlns="http://schemas.openxmlformats.org/spreadsheetml/2006/main" count="331" uniqueCount="272">
  <si>
    <t>ClearAuth AI — License Pricing Tiers &amp; Product Investment Break-Even</t>
  </si>
  <si>
    <t>AI Prior Authorization Platform — Market Sizing</t>
  </si>
  <si>
    <t>Key Assumptions</t>
  </si>
  <si>
    <t>AI Prior Authorization Platform — Market Opportunity Summary</t>
  </si>
  <si>
    <t>Methodology, definitions, and sources — read this sheet first</t>
  </si>
  <si>
    <t>Edit any yellow cell — every other tab recalculates from these inputs</t>
  </si>
  <si>
    <t>Built from the client's own Onboarding Cost &amp; ROI Model (uploaded PDF). All figures are live formulas — edit any yellow cell.</t>
  </si>
  <si>
    <t>US + Canada Healthcare — TAM / SAM / SOM (US$, unless noted). All figures link live to the underlying model.</t>
  </si>
  <si>
    <t>SHARED ASSUMPTIONS  (source: ClearAuth AI Onboarding Cost &amp; ROI Model, client PDF)</t>
  </si>
  <si>
    <t>PRODUCT CONTEXT</t>
  </si>
  <si>
    <t>Assumption</t>
  </si>
  <si>
    <t>Value</t>
  </si>
  <si>
    <t>Note / Source</t>
  </si>
  <si>
    <t>US National Health Expenditure, 2025E ($B)</t>
  </si>
  <si>
    <t>CMS NHE Historical &amp; Projections; 2023 actual $4,867B, projected fwd at ~7%/yr trend. VERIFY latest CMS figure.</t>
  </si>
  <si>
    <t>Canada National Health Expenditure, 2024E (CAD $B)</t>
  </si>
  <si>
    <t>CIHI National Health Expenditure Trends. VERIFY latest CIHI figure.</t>
  </si>
  <si>
    <t>CAD → USD exchange rate</t>
  </si>
  <si>
    <t>PA volume per physician, low (per month)</t>
  </si>
  <si>
    <t>Geography</t>
  </si>
  <si>
    <t>Illustrative FX rate — update to spot rate before presenting.</t>
  </si>
  <si>
    <t>Software TAM ($B)</t>
  </si>
  <si>
    <t>US administrative cost, % of NHE</t>
  </si>
  <si>
    <t>SAM ($B)</t>
  </si>
  <si>
    <t>SOM — Base ($B)</t>
  </si>
  <si>
    <t>SOM — Upside ($B)</t>
  </si>
  <si>
    <t>Health-policy literature range 15–30%; fragmented multi-payer system skews toward the higher end.</t>
  </si>
  <si>
    <t>PA volume per physician, high (per month)</t>
  </si>
  <si>
    <t>Canada administrative cost, % of NHE</t>
  </si>
  <si>
    <t>Single-payer provincial systems typically cited lower than the US.</t>
  </si>
  <si>
    <t>United States</t>
  </si>
  <si>
    <t>Prior-auth / UM share of administrative cost</t>
  </si>
  <si>
    <t>Manual administrative cost per PA, low ($)</t>
  </si>
  <si>
    <t>Product analyzed</t>
  </si>
  <si>
    <t>Placeholder — refine against CAQH CORE Index prior-authorization cost data.</t>
  </si>
  <si>
    <t>Software-capture rate (cost pool → vendor software TAM)</t>
  </si>
  <si>
    <t>AI-powered prior authorization / utilization-management (UM) automation platform for healthcare providers and payers — comparable to ClearAuth AI (clearauthai.com).</t>
  </si>
  <si>
    <t>Typical SaaS value-capture in adjacent RCM/denials-automation categories (~10–15%).</t>
  </si>
  <si>
    <t>SAM as % of Software TAM (reachable segment)</t>
  </si>
  <si>
    <t>Manual administrative cost per PA, high ($)</t>
  </si>
  <si>
    <t>United States (national + all 50 states + DC) and Canada (national + 10 provinces + 3 territories).</t>
  </si>
  <si>
    <t>Reflects focus on hospitals/health systems + specialty groups + payer UM depts, direct/channel sales, NA English-language markets.</t>
  </si>
  <si>
    <t>SOM as % of SAM (3–5 year realistic capture)</t>
  </si>
  <si>
    <t>Automation handling-time reduction</t>
  </si>
  <si>
    <t>Vertical</t>
  </si>
  <si>
    <t>Healthcare — hospitals &amp; health systems, medical groups/specialty practices, ambulatory surgical centers, and payers (health plans) that run prior-authorization and utilization-review workflows.</t>
  </si>
  <si>
    <t>Reasonable new-entrant share in a category with established players (Cohere Health, Rhyme, Availity, Waystar, Myndshft, XSOLIS).</t>
  </si>
  <si>
    <t>Conservative realization factor</t>
  </si>
  <si>
    <t>Optimistic SOM as % of SAM (upside case)</t>
  </si>
  <si>
    <t>Onboarding labor rate ($/hour)</t>
  </si>
  <si>
    <t>Upside case if the product wins a clear wedge (e.g., a specialty vertical or a flagship health-system logo) and expands faster.</t>
  </si>
  <si>
    <t>DEFINITIONS USED IN THIS MODEL</t>
  </si>
  <si>
    <t>Onboarding implementation contingency</t>
  </si>
  <si>
    <t>Electronic payer routes per practice (E)</t>
  </si>
  <si>
    <t>Payer portal routes per practice (B)</t>
  </si>
  <si>
    <t>TAM (Total Addressable Market)</t>
  </si>
  <si>
    <t>The total annual SOFTWARE/technology spend that a category-defining PA/UM automation platform could theoretically capture across all US + Canada payers and providers, if it owned 100% of the category.</t>
  </si>
  <si>
    <t>License fee — % of conservative monthly savings captured</t>
  </si>
  <si>
    <t>SAM (Serviceable Addressable Market)</t>
  </si>
  <si>
    <t>The slice of TAM that is realistically reachable given this product's go-to-market: mid-size to large hospitals/health systems, multi-site specialty groups, and payer UM departments, sold via direct/channel sales in English-language North American markets.</t>
  </si>
  <si>
    <t>SOM (Serviceable Obtainable Market)</t>
  </si>
  <si>
    <t>The realistic revenue a new entrant can capture within a 3–5 year horizon, given the existing competitive set (Cohere Health, Rhyme, Availity, Waystar, Myndshft, Banjo Health, XSOLIS, and EHR-native UM modules from Epic/Oracle Health).</t>
  </si>
  <si>
    <t>PA-volume, manual-cost, automation-reduction, realization-factor, labor-rate, contingency, and route-count figures are taken directly from the client's uploaded Onboarding Cost &amp; ROI Model. The license-fee capture rate (last row) is a new commercial assumption — this model prices the recurring subscription as a share of the monthly savings ClearAuth delivers, on top of the existing one-time onboarding fee.</t>
  </si>
  <si>
    <t>WHY A TWO-STAGE 'COST POOL → SOFTWARE TAM' MODEL</t>
  </si>
  <si>
    <t>ITEM 1 — RECURRING LICENSE PRICING BY PRACTICE SIZE</t>
  </si>
  <si>
    <t>The problem</t>
  </si>
  <si>
    <t>Prior authorization touches a very large pool of administrative COST (staff time, denials/appeals, delayed care) — but only a fraction of that cost converts into money that flows to a software vendor. A TAM built directly off total healthcare spend (e.g., "25% of $5T is administrative, therefore TAM = $1.3T") wildly overstates what a company can realistically sell into and will not withstand diligence.</t>
  </si>
  <si>
    <t>The fix</t>
  </si>
  <si>
    <t>Canada</t>
  </si>
  <si>
    <t>Practice Size
(Physicians)</t>
  </si>
  <si>
    <t>Monthly PA
Volume — Low</t>
  </si>
  <si>
    <t>Monthly PA
Volume — High</t>
  </si>
  <si>
    <t>This model first sizes the full PRIOR-AUTH/UM COST POOL top-down from national health expenditure (an easy number to defend), then applies a SOFTWARE-CAPTURE RATE — the share of that cost pool that historically converts into vendor license/subscription revenue in adjacent categories (RCM automation, claims automation, denial management SaaS) — to arrive at a Software TAM. SAM and SOM are then carved out of that Software TAM. Every conversion factor is an explicit, editable, labeled assumption on the Assumptions tab (yellow cells) — change any one and the whole model recalculates.</t>
  </si>
  <si>
    <t>Monthly Manual
Burden — Low</t>
  </si>
  <si>
    <t>Monthly Manual
Burden — High</t>
  </si>
  <si>
    <t>Conservative Monthly
Savings — Low</t>
  </si>
  <si>
    <t>Conservative Monthly
Savings — High</t>
  </si>
  <si>
    <t>Recommended
License Fee ($/mo)</t>
  </si>
  <si>
    <t>Per-Physician
Rate ($/mo)</t>
  </si>
  <si>
    <t>One-Time Onboarding
Price (ref.)</t>
  </si>
  <si>
    <t>SOURCES &amp; GROUNDING (verify before client-facing use)</t>
  </si>
  <si>
    <t>US National Health Expenditure (NHE)</t>
  </si>
  <si>
    <t>CMS Office of the Actuary NHE Historical &amp; Projections data. 2023 actual NHE was ~$4.87 trillion; this model projects 2025 at ~$5.4T using CMS's published ~7%/yr near-term trend growth rate. CONFIRM the latest published NHE figure at cms.gov before presenting.</t>
  </si>
  <si>
    <t>Canada National Health Expenditure</t>
  </si>
  <si>
    <t>Canadian Institute for Health Information (CIHI), National Health Expenditure Trends. 2024 estimate used here is CAD $372B. CONFIRM latest figure at cihi.ca.</t>
  </si>
  <si>
    <t>Administrative cost share of spend</t>
  </si>
  <si>
    <t>US + CANADA COMBINED</t>
  </si>
  <si>
    <t>Widely-cited academic/health-policy estimates (e.g., Health Affairs, JAMA, NEJM Catalyst research on billing &amp; insurance-related costs) place US administrative overhead at 15–30% of total health spend; this model uses 25% as a defensible mid/upper estimate reflecting the US's payer-fragmented system. Canada's single-payer provincial system is typically cited as materially lower (~15–18%); this model uses 17%.</t>
  </si>
  <si>
    <t>Prior-auth/UM share of admin cost</t>
  </si>
  <si>
    <t>CAQH CORE Index research tracks prior authorization as one of the costliest per-transaction administrative categories (alongside claims and eligibility). This model assumes PA/UM activities represent ~8% of total administrative cost — a placeholder assumption that should be refined against the latest CAQH Index report (caqh.org/core/index) before external use.</t>
  </si>
  <si>
    <t>Software-capture rate</t>
  </si>
  <si>
    <t>SaaS vendors in adjacent healthcare-admin-automation categories (denials management, RCM automation) typically price on value delivered, capturing roughly 10–15% of the underlying manual-cost pool as license/subscription fees. This model uses 12%.</t>
  </si>
  <si>
    <t>State/province apportionment</t>
  </si>
  <si>
    <t>US state weights = 2024 Census population estimate × a directional per-capita health-spending index (reflecting known patterns, e.g., higher per-capita spend in MA/NY/AK/DC, lower in UT/ID/NV). Canada province weights use 2024 population estimates with a smaller remoteness-cost adjustment for the territories. BOTH should be re-based on CMS's State Health Expenditure Accounts (cms.gov) and CIHI provincial data for a final client deliverable — the values here are directional, not official state-level statistics.</t>
  </si>
  <si>
    <t>HOW TO USE THIS WORKBOOK</t>
  </si>
  <si>
    <t>1.</t>
  </si>
  <si>
    <t>Start on 'Assumptions' — every yellow cell is an editable lever. Change any of them (e.g., a more conservative software-capture rate) and every other tab recalculates automatically.</t>
  </si>
  <si>
    <t>2.</t>
  </si>
  <si>
    <t>'US National Model' and 'Canada National Model' show the full waterfall from national health spend down to TAM / SAM / SOM.</t>
  </si>
  <si>
    <t>3.</t>
  </si>
  <si>
    <t>'US State Breakdown' and 'Canada Province Breakdown' split those national totals across all states/provinces.</t>
  </si>
  <si>
    <t>Top 10 US states by opportunity (base-case SOM)</t>
  </si>
  <si>
    <t>4.</t>
  </si>
  <si>
    <t>'Executive Summary' is the one-page rollup — this is the tab to screenshot or present.</t>
  </si>
  <si>
    <t>This model was built without live web access in this session, so every dollar figure is drawn from general industry knowledge current to Jan 2026, not a fresh pull of the latest published reports. Before presenting to the client, re-verify: (a) the latest CMS NHE topline figure, (b) the latest CAQH CORE Index prior-auth statistics, and (c) any named-vendor market-share claims. Treat the numbers here as a rigorous, transparent MODEL — not as a quoted market-research figure.</t>
  </si>
  <si>
    <t>State</t>
  </si>
  <si>
    <t>TAM ($M)</t>
  </si>
  <si>
    <t>SAM ($M)</t>
  </si>
  <si>
    <t>SOM — Base ($M)</t>
  </si>
  <si>
    <t>SOM — Upside ($M)</t>
  </si>
  <si>
    <t>California</t>
  </si>
  <si>
    <t>Texas</t>
  </si>
  <si>
    <t>License fee = 20% of the midpoint conservative monthly savings for that practice size (i.e., ClearAuth keeps ~20% of the value delivered as recurring subscription revenue; the client keeps ~80%). Per-physician rate lands at roughly the same $ figure across tiers because savings scale near-linearly with PA volume — this is what makes per-physician pricing viable rather than a flat per-practice fee. Onboarding price (one-time) reuses the exact formula from the client's own ROI model: H = 34 + 0.25P + 3E + 4B, Cost = H x $50/hr, Quoted = Cost x 1.15.</t>
  </si>
  <si>
    <t>ITEM 2 — PRODUCT BUILD INVESTMENT: BREAK-EVEN ANALYSIS</t>
  </si>
  <si>
    <t>One-time product build investment ($)</t>
  </si>
  <si>
    <t>Fixed monthly cost — managed services + cloud ($/mo)</t>
  </si>
  <si>
    <t>New customers per month — Conservative scenario</t>
  </si>
  <si>
    <t>New customers per month — Base scenario</t>
  </si>
  <si>
    <t>New customers per month — Aggressive scenario</t>
  </si>
  <si>
    <t>Customer profile assumed for all three scenarios below: the 'Standard 10-physician practice' from Item 1 above — one-time onboarding fee plus recurring license fee, both computed there. Each scenario differs only in how many new practices sign per month; no churn is modeled.</t>
  </si>
  <si>
    <t>New York</t>
  </si>
  <si>
    <t>Scenario</t>
  </si>
  <si>
    <t>New customers / mo</t>
  </si>
  <si>
    <t>Break-even month</t>
  </si>
  <si>
    <t>Conservative</t>
  </si>
  <si>
    <t>Base</t>
  </si>
  <si>
    <t>Florida</t>
  </si>
  <si>
    <t>Aggressive</t>
  </si>
  <si>
    <t>CONSERVATIVE SCENARIO — Conservative new customer(s)/month (detail)</t>
  </si>
  <si>
    <t>Month</t>
  </si>
  <si>
    <t>New
Customers</t>
  </si>
  <si>
    <t>Cumulative
Customers</t>
  </si>
  <si>
    <t>Onboarding
Revenue</t>
  </si>
  <si>
    <t>Recurring License
Revenue</t>
  </si>
  <si>
    <t>Total
Revenue</t>
  </si>
  <si>
    <t>Fixed Opex
(Mgd Svcs+Cloud)</t>
  </si>
  <si>
    <t>Net Cash
Flow</t>
  </si>
  <si>
    <t>Cumulative Net
Cash Flow</t>
  </si>
  <si>
    <t>Pennsylvania</t>
  </si>
  <si>
    <t>Illinois</t>
  </si>
  <si>
    <t>Ohio</t>
  </si>
  <si>
    <t>New Jersey</t>
  </si>
  <si>
    <t>Michigan</t>
  </si>
  <si>
    <t>North Carolina</t>
  </si>
  <si>
    <t>Top 5 Canadian provinces by opportunity (base-case SOM)</t>
  </si>
  <si>
    <t>Province</t>
  </si>
  <si>
    <t>TAM (US$M)</t>
  </si>
  <si>
    <t>SAM (US$M)</t>
  </si>
  <si>
    <t>SOM — Base (US$M)</t>
  </si>
  <si>
    <t>SOM — Upside (US$M)</t>
  </si>
  <si>
    <t>Ontario</t>
  </si>
  <si>
    <t>Quebec</t>
  </si>
  <si>
    <t>BASE SCENARIO — Base new customer(s)/month (detail)</t>
  </si>
  <si>
    <t>British Columbia</t>
  </si>
  <si>
    <t>Alberta</t>
  </si>
  <si>
    <t>Manitoba</t>
  </si>
  <si>
    <t>Note: 'Software TAM' = realistic vendor-capturable technology spend, derived from the full prior-auth/UM administrative cost pool via a 12% software-capture assumption (see Methodology + Assumptions tabs). SOM reflects a 1.5% (base) to 3.0% (upside) share of SAM captured within a 3–5 year horizon, consistent with a focused new entrant competing against Cohere Health, Rhyme, Availity, Waystar, Myndshft, and XSOLIS.</t>
  </si>
  <si>
    <t>AGGRESSIVE SCENARIO — Aggressive new customer(s)/month (detail)</t>
  </si>
  <si>
    <t>Break-even month = first month in which cumulative net cash flow (recurring license revenue + one-time onboarding fees from new signings, minus the fixed monthly managed-services-and-cloud cost) equals or exceeds the one-time product-build investment. No churn, discounting, or customer-acquisition cost is modeled — treat this as a floor on payback speed, not a complete financial plan.</t>
  </si>
  <si>
    <t>United States — National TAM / SAM / SOM Waterfall</t>
  </si>
  <si>
    <t>All figures in USD $ billions unless noted. Formulas link to Assumptions tab.</t>
  </si>
  <si>
    <t>Line item</t>
  </si>
  <si>
    <t>$ Billions</t>
  </si>
  <si>
    <t>Formula logic</t>
  </si>
  <si>
    <t>1. US National Health Expenditure (NHE)</t>
  </si>
  <si>
    <t>Total US healthcare spend, all payers, 2025E.</t>
  </si>
  <si>
    <t>2. Administrative cost % of NHE</t>
  </si>
  <si>
    <t>Billing, insurance-related, and utilization administration.</t>
  </si>
  <si>
    <t>3. Total US healthcare administrative spend</t>
  </si>
  <si>
    <t>Row 1 x Row 2.</t>
  </si>
  <si>
    <t>4. Prior-auth / UM share of administrative cost</t>
  </si>
  <si>
    <t>United States — State-by-State TAM / SAM / SOM</t>
  </si>
  <si>
    <t>Apportioned from the US National Model using population share x a directional per-capita health-spend index. VERIFY against CMS State Health Expenditure Accounts before external use.</t>
  </si>
  <si>
    <t>Placeholder — refine vs. CAQH CORE Index.</t>
  </si>
  <si>
    <t>5. US Prior-Auth / UM COST POOL ('Problem TAM')</t>
  </si>
  <si>
    <t>Total cost currently spent (staff time + payer UM ops + denials/appeals) on PA/UM — NOT a software number.</t>
  </si>
  <si>
    <t>2024E Population (M)</t>
  </si>
  <si>
    <t>Pop. Share</t>
  </si>
  <si>
    <t>6. Software-capture rate</t>
  </si>
  <si>
    <t>Per-Capita
Spend Index</t>
  </si>
  <si>
    <t>Weighted
Share</t>
  </si>
  <si>
    <t>Share of the cost pool that converts to vendor SaaS/license revenue.</t>
  </si>
  <si>
    <t>7. US SOFTWARE TAM</t>
  </si>
  <si>
    <t>Row 5 x Row 6 — the realistic total software/tech spend category.</t>
  </si>
  <si>
    <t>8. SAM as % of Software TAM</t>
  </si>
  <si>
    <t>Reachable segment: hospitals/health systems, specialty groups, payer UM depts.</t>
  </si>
  <si>
    <t>9. US SAM (Serviceable Addressable Market)</t>
  </si>
  <si>
    <t>Row 7 x Row 8.</t>
  </si>
  <si>
    <t>10. Base-case SOM as % of SAM (3–5 yr)</t>
  </si>
  <si>
    <t>Realistic new-entrant capture vs. established competitors.</t>
  </si>
  <si>
    <t>11. US SOM — Base case</t>
  </si>
  <si>
    <t>Row 9 x Row 10. Realistic 3-5yr revenue opportunity.</t>
  </si>
  <si>
    <t>12. Optimistic SOM as % of SAM (upside)</t>
  </si>
  <si>
    <t>Upside case with a strong wedge / flagship logo.</t>
  </si>
  <si>
    <t>13. US SOM — Upside case</t>
  </si>
  <si>
    <t>Row 9 x Row 12.</t>
  </si>
  <si>
    <t>Canada — National TAM / SAM / SOM Waterfall</t>
  </si>
  <si>
    <t>Figures shown in CAD and USD billions. Formulas link to Assumptions tab.</t>
  </si>
  <si>
    <t>CAD $B</t>
  </si>
  <si>
    <t>USD $B</t>
  </si>
  <si>
    <t>1. Canada National Health Expenditure (NHE)</t>
  </si>
  <si>
    <t>Total Canada healthcare spend, all payers/provinces, 2024E.</t>
  </si>
  <si>
    <t>Lower than US — single-payer provincial systems.</t>
  </si>
  <si>
    <t>3. Total Canada healthcare administrative spend</t>
  </si>
  <si>
    <t>Same placeholder share as US model.</t>
  </si>
  <si>
    <t>5. Canada Prior-Auth / UM COST POOL ('Problem TAM')</t>
  </si>
  <si>
    <t>Total cost currently spent on PA/UM across Canada — not a software number.</t>
  </si>
  <si>
    <t>Same capture-rate assumption as US model.</t>
  </si>
  <si>
    <t>7. Canada SOFTWARE TAM</t>
  </si>
  <si>
    <t>Row 5 x Row 6.</t>
  </si>
  <si>
    <t>Same reachable-segment assumption as US model.</t>
  </si>
  <si>
    <t>9. Canada SAM (Serviceable Addressable Market)</t>
  </si>
  <si>
    <t>Georgia</t>
  </si>
  <si>
    <t>Realistic new-entrant capture.</t>
  </si>
  <si>
    <t>11. Canada SOM — Base case</t>
  </si>
  <si>
    <t>Row 9 x Row 10.</t>
  </si>
  <si>
    <t>Upside case.</t>
  </si>
  <si>
    <t>13. Canada SOM — Upside case</t>
  </si>
  <si>
    <t>Virginia</t>
  </si>
  <si>
    <t>Washington</t>
  </si>
  <si>
    <t>Arizona</t>
  </si>
  <si>
    <t>Tennessee</t>
  </si>
  <si>
    <t>Massachusetts</t>
  </si>
  <si>
    <t>Indiana</t>
  </si>
  <si>
    <t>Maryland</t>
  </si>
  <si>
    <t>Missouri</t>
  </si>
  <si>
    <t>Colorado</t>
  </si>
  <si>
    <t>Wisconsin</t>
  </si>
  <si>
    <t>Minnesota</t>
  </si>
  <si>
    <t>South Carolina</t>
  </si>
  <si>
    <t>Alabama</t>
  </si>
  <si>
    <t>Louisiana</t>
  </si>
  <si>
    <t>Kentucky</t>
  </si>
  <si>
    <t>Oregon</t>
  </si>
  <si>
    <t>Oklahoma</t>
  </si>
  <si>
    <t>Connecticut</t>
  </si>
  <si>
    <t>Utah</t>
  </si>
  <si>
    <t>Iowa</t>
  </si>
  <si>
    <t>Nevada</t>
  </si>
  <si>
    <t>Arkansas</t>
  </si>
  <si>
    <t>Mississippi</t>
  </si>
  <si>
    <t>Kansas</t>
  </si>
  <si>
    <t>New Mexico</t>
  </si>
  <si>
    <t>Nebraska</t>
  </si>
  <si>
    <t>Idaho</t>
  </si>
  <si>
    <t>West Virginia</t>
  </si>
  <si>
    <t>Hawaii</t>
  </si>
  <si>
    <t>New Hampshire</t>
  </si>
  <si>
    <t>Maine</t>
  </si>
  <si>
    <t>Montana</t>
  </si>
  <si>
    <t>Rhode Island</t>
  </si>
  <si>
    <t>Delaware</t>
  </si>
  <si>
    <t>South Dakota</t>
  </si>
  <si>
    <t>North Dakota</t>
  </si>
  <si>
    <t>Alaska</t>
  </si>
  <si>
    <t>Vermont</t>
  </si>
  <si>
    <t>Wyoming</t>
  </si>
  <si>
    <t>District of Columbia</t>
  </si>
  <si>
    <t>TOTAL (sum of weighted shares — used to normalize)</t>
  </si>
  <si>
    <t>US TOTAL (all 50 states + DC)</t>
  </si>
  <si>
    <t>Canada — Province/Territory TAM / SAM / SOM</t>
  </si>
  <si>
    <t>Apportioned from the Canada National Model using population share x a directional per-capita health-spend index (higher for the territories, reflecting remote-care delivery cost). VERIFY against CIHI provincial data before external use.</t>
  </si>
  <si>
    <t>Province / Territory</t>
  </si>
  <si>
    <t>Saskatchewan</t>
  </si>
  <si>
    <t>Nova Scotia</t>
  </si>
  <si>
    <t>New Brunswick</t>
  </si>
  <si>
    <t>Newfoundland &amp; Labrador</t>
  </si>
  <si>
    <t>Prince Edward Island</t>
  </si>
  <si>
    <t>Northwest Territories</t>
  </si>
  <si>
    <t>Yukon</t>
  </si>
  <si>
    <t>Nunavut</t>
  </si>
  <si>
    <t>CANADA TOTAL (all provinces + territories)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</si>
</sst>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\$#,##0;&quot;($&quot;#,##0\);\-"/>
    <numFmt numFmtId="166" formatCode="\$#,##0.0"/>
    <numFmt numFmtId="167" formatCode="#,##0.0"/>
    <numFmt numFmtId="168" formatCode="0.0000"/>
  </numFmts>
  <fonts count="11">
    <font>
      <sz val="11.0"/>
      <color theme="1"/>
      <name val="Calibri"/>
      <scheme val="minor"/>
    </font>
    <font>
      <b/>
      <sz val="16.0"/>
      <color rgb="FF1F4E78"/>
      <name val="Arial"/>
    </font>
    <font>
      <i/>
      <sz val="10.0"/>
      <color rgb="FF404040"/>
      <name val="Arial"/>
    </font>
    <font>
      <sz val="11.0"/>
      <color theme="1"/>
      <name val="Calibri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FFFFFF"/>
      <name val="Arial"/>
    </font>
    <font/>
    <font>
      <b/>
      <sz val="11.0"/>
      <color rgb="FF0000FF"/>
      <name val="Arial"/>
    </font>
    <font>
      <i/>
      <sz val="9.0"/>
      <color rgb="FF595959"/>
      <name val="Arial"/>
    </font>
    <font>
      <sz val="11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</fills>
  <borders count="5">
    <border/>
    <border>
      <lef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2" fontId="6" numFmtId="0" xfId="0" applyAlignment="1" applyBorder="1" applyFill="1" applyFont="1">
      <alignment shrinkToFit="0" vertical="center" wrapText="0"/>
    </xf>
    <xf borderId="2" fillId="3" fontId="6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shrinkToFit="0" vertical="bottom" wrapText="0"/>
    </xf>
    <xf borderId="3" fillId="0" fontId="7" numFmtId="0" xfId="0" applyBorder="1" applyFont="1"/>
    <xf borderId="2" fillId="0" fontId="5" numFmtId="0" xfId="0" applyAlignment="1" applyBorder="1" applyFont="1">
      <alignment shrinkToFit="0" vertical="bottom" wrapText="0"/>
    </xf>
    <xf borderId="2" fillId="4" fontId="8" numFmtId="3" xfId="0" applyAlignment="1" applyBorder="1" applyFill="1" applyFont="1" applyNumberFormat="1">
      <alignment horizontal="center" shrinkToFit="0" vertical="bottom" wrapText="0"/>
    </xf>
    <xf borderId="4" fillId="0" fontId="7" numFmtId="0" xfId="0" applyBorder="1" applyFont="1"/>
    <xf borderId="2" fillId="0" fontId="9" numFmtId="0" xfId="0" applyAlignment="1" applyBorder="1" applyFont="1">
      <alignment shrinkToFit="0" vertical="top" wrapText="1"/>
    </xf>
    <xf borderId="2" fillId="4" fontId="8" numFmtId="2" xfId="0" applyAlignment="1" applyBorder="1" applyFill="1" applyFont="1" applyNumberFormat="1">
      <alignment horizontal="center" shrinkToFit="0" vertical="bottom" wrapText="0"/>
    </xf>
    <xf borderId="2" fillId="4" fontId="8" numFmtId="164" xfId="0" applyAlignment="1" applyBorder="1" applyFill="1" applyFont="1" applyNumberFormat="1">
      <alignment horizontal="center" shrinkToFit="0" vertical="bottom" wrapText="0"/>
    </xf>
    <xf borderId="2" fillId="4" fontId="8" numFmtId="165" xfId="0" applyAlignment="1" applyBorder="1" applyFill="1" applyFont="1" applyNumberFormat="1">
      <alignment horizontal="center" shrinkToFit="0" vertical="bottom" wrapText="0"/>
    </xf>
    <xf borderId="2" fillId="4" fontId="8" numFmtId="10" xfId="0" applyAlignment="1" applyBorder="1" applyFill="1" applyFont="1" applyNumberFormat="1">
      <alignment horizontal="center" shrinkToFit="0" vertical="bottom" wrapText="0"/>
    </xf>
    <xf borderId="2" fillId="4" fontId="8" numFmtId="165" xfId="0" applyAlignment="1" applyBorder="1" applyFill="1" applyFont="1" applyNumberFormat="1">
      <alignment horizontal="center" readingOrder="0" shrinkToFit="0" vertical="bottom" wrapText="0"/>
    </xf>
    <xf borderId="2" fillId="0" fontId="3" numFmtId="166" xfId="0" applyAlignment="1" applyBorder="1" applyFont="1" applyNumberFormat="1">
      <alignment shrinkToFit="0" vertical="bottom" wrapText="0"/>
    </xf>
    <xf borderId="2" fillId="4" fontId="8" numFmtId="164" xfId="0" applyAlignment="1" applyBorder="1" applyFill="1" applyFont="1" applyNumberFormat="1">
      <alignment horizontal="center" readingOrder="0" shrinkToFit="0" vertical="bottom" wrapText="0"/>
    </xf>
    <xf borderId="0" fillId="0" fontId="9" numFmtId="0" xfId="0" applyAlignment="1" applyFont="1">
      <alignment shrinkToFit="0" vertical="top" wrapText="1"/>
    </xf>
    <xf borderId="2" fillId="5" fontId="5" numFmtId="0" xfId="0" applyAlignment="1" applyBorder="1" applyFill="1" applyFont="1">
      <alignment shrinkToFit="0" vertical="bottom" wrapText="0"/>
    </xf>
    <xf borderId="2" fillId="5" fontId="3" numFmtId="166" xfId="0" applyAlignment="1" applyBorder="1" applyFill="1" applyFont="1" applyNumberFormat="1">
      <alignment shrinkToFit="0" vertical="bottom" wrapText="0"/>
    </xf>
    <xf borderId="2" fillId="4" fontId="8" numFmtId="0" xfId="0" applyAlignment="1" applyBorder="1" applyFill="1" applyFont="1">
      <alignment horizontal="center" shrinkToFit="0" vertical="bottom" wrapText="0"/>
    </xf>
    <xf borderId="2" fillId="4" fontId="4" numFmtId="0" xfId="0" applyAlignment="1" applyBorder="1" applyFill="1" applyFont="1">
      <alignment shrinkToFit="0" vertical="bottom" wrapText="0"/>
    </xf>
    <xf borderId="2" fillId="0" fontId="3" numFmtId="3" xfId="0" applyAlignment="1" applyBorder="1" applyFont="1" applyNumberFormat="1">
      <alignment shrinkToFit="0" vertical="bottom" wrapText="0"/>
    </xf>
    <xf borderId="2" fillId="4" fontId="4" numFmtId="166" xfId="0" applyAlignment="1" applyBorder="1" applyFill="1" applyFont="1" applyNumberFormat="1">
      <alignment shrinkToFit="0" vertical="bottom" wrapText="0"/>
    </xf>
    <xf borderId="2" fillId="0" fontId="3" numFmtId="165" xfId="0" applyAlignment="1" applyBorder="1" applyFont="1" applyNumberFormat="1">
      <alignment shrinkToFit="0" vertical="bottom" wrapText="0"/>
    </xf>
    <xf borderId="2" fillId="6" fontId="4" numFmtId="165" xfId="0" applyAlignment="1" applyBorder="1" applyFill="1" applyFont="1" applyNumberFormat="1">
      <alignment shrinkToFit="0" vertical="bottom" wrapText="0"/>
    </xf>
    <xf borderId="2" fillId="5" fontId="3" numFmtId="3" xfId="0" applyAlignment="1" applyBorder="1" applyFill="1" applyFont="1" applyNumberFormat="1">
      <alignment shrinkToFit="0" vertical="bottom" wrapText="0"/>
    </xf>
    <xf borderId="2" fillId="5" fontId="3" numFmtId="165" xfId="0" applyAlignment="1" applyBorder="1" applyFill="1" applyFont="1" applyNumberFormat="1">
      <alignment shrinkToFit="0" vertical="bottom" wrapText="0"/>
    </xf>
    <xf borderId="2" fillId="7" fontId="5" numFmtId="0" xfId="0" applyAlignment="1" applyBorder="1" applyFill="1" applyFont="1">
      <alignment shrinkToFit="0" vertical="bottom" wrapText="0"/>
    </xf>
    <xf borderId="2" fillId="7" fontId="3" numFmtId="3" xfId="0" applyAlignment="1" applyBorder="1" applyFill="1" applyFont="1" applyNumberFormat="1">
      <alignment shrinkToFit="0" vertical="bottom" wrapText="0"/>
    </xf>
    <xf borderId="2" fillId="7" fontId="4" numFmtId="0" xfId="0" applyAlignment="1" applyBorder="1" applyFill="1" applyFont="1">
      <alignment horizontal="center" shrinkToFit="0" vertical="bottom" wrapText="0"/>
    </xf>
    <xf borderId="2" fillId="0" fontId="5" numFmtId="165" xfId="0" applyAlignment="1" applyBorder="1" applyFont="1" applyNumberFormat="1">
      <alignment horizontal="right" shrinkToFit="0" vertical="bottom" wrapText="0"/>
    </xf>
    <xf borderId="2" fillId="0" fontId="5" numFmtId="164" xfId="0" applyAlignment="1" applyBorder="1" applyFont="1" applyNumberFormat="1">
      <alignment horizontal="right" shrinkToFit="0" vertical="bottom" wrapText="0"/>
    </xf>
    <xf borderId="2" fillId="6" fontId="4" numFmtId="0" xfId="0" applyAlignment="1" applyBorder="1" applyFill="1" applyFont="1">
      <alignment shrinkToFit="0" vertical="bottom" wrapText="0"/>
    </xf>
    <xf borderId="2" fillId="6" fontId="4" numFmtId="165" xfId="0" applyAlignment="1" applyBorder="1" applyFill="1" applyFont="1" applyNumberFormat="1">
      <alignment horizontal="right" shrinkToFit="0" vertical="bottom" wrapText="0"/>
    </xf>
    <xf borderId="2" fillId="6" fontId="9" numFmtId="0" xfId="0" applyAlignment="1" applyBorder="1" applyFill="1" applyFont="1">
      <alignment shrinkToFit="0" vertical="top" wrapText="1"/>
    </xf>
    <xf borderId="2" fillId="0" fontId="10" numFmtId="167" xfId="0" applyAlignment="1" applyBorder="1" applyFont="1" applyNumberFormat="1">
      <alignment shrinkToFit="0" vertical="bottom" wrapText="0"/>
    </xf>
    <xf borderId="2" fillId="4" fontId="4" numFmtId="165" xfId="0" applyAlignment="1" applyBorder="1" applyFill="1" applyFont="1" applyNumberFormat="1">
      <alignment horizontal="right" shrinkToFit="0" vertical="bottom" wrapText="0"/>
    </xf>
    <xf borderId="2" fillId="4" fontId="9" numFmtId="0" xfId="0" applyAlignment="1" applyBorder="1" applyFill="1" applyFont="1">
      <alignment shrinkToFit="0" vertical="top" wrapText="1"/>
    </xf>
    <xf borderId="2" fillId="0" fontId="5" numFmtId="10" xfId="0" applyAlignment="1" applyBorder="1" applyFont="1" applyNumberFormat="1">
      <alignment shrinkToFit="0" vertical="bottom" wrapText="0"/>
    </xf>
    <xf borderId="2" fillId="0" fontId="10" numFmtId="2" xfId="0" applyAlignment="1" applyBorder="1" applyFont="1" applyNumberFormat="1">
      <alignment shrinkToFit="0" vertical="bottom" wrapText="0"/>
    </xf>
    <xf borderId="2" fillId="0" fontId="5" numFmtId="168" xfId="0" applyAlignment="1" applyBorder="1" applyFont="1" applyNumberFormat="1">
      <alignment shrinkToFit="0" vertical="bottom" wrapText="0"/>
    </xf>
    <xf borderId="2" fillId="0" fontId="5" numFmtId="10" xfId="0" applyAlignment="1" applyBorder="1" applyFont="1" applyNumberFormat="1">
      <alignment horizontal="right" shrinkToFit="0" vertical="bottom" wrapText="0"/>
    </xf>
    <xf borderId="2" fillId="0" fontId="5" numFmtId="165" xfId="0" applyAlignment="1" applyBorder="1" applyFont="1" applyNumberFormat="1">
      <alignment shrinkToFit="0" vertical="bottom" wrapText="0"/>
    </xf>
    <xf borderId="2" fillId="5" fontId="10" numFmtId="167" xfId="0" applyAlignment="1" applyBorder="1" applyFill="1" applyFont="1" applyNumberFormat="1">
      <alignment shrinkToFit="0" vertical="bottom" wrapText="0"/>
    </xf>
    <xf borderId="2" fillId="5" fontId="5" numFmtId="10" xfId="0" applyAlignment="1" applyBorder="1" applyFill="1" applyFont="1" applyNumberFormat="1">
      <alignment shrinkToFit="0" vertical="bottom" wrapText="0"/>
    </xf>
    <xf borderId="2" fillId="5" fontId="10" numFmtId="2" xfId="0" applyAlignment="1" applyBorder="1" applyFill="1" applyFont="1" applyNumberFormat="1">
      <alignment shrinkToFit="0" vertical="bottom" wrapText="0"/>
    </xf>
    <xf borderId="2" fillId="5" fontId="5" numFmtId="168" xfId="0" applyAlignment="1" applyBorder="1" applyFill="1" applyFont="1" applyNumberFormat="1">
      <alignment shrinkToFit="0" vertical="bottom" wrapText="0"/>
    </xf>
    <xf borderId="2" fillId="5" fontId="5" numFmtId="165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8" xfId="0" applyAlignment="1" applyFont="1" applyNumberFormat="1">
      <alignment shrinkToFit="0" vertical="bottom" wrapText="0"/>
    </xf>
    <xf borderId="2" fillId="6" fontId="3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6" width="16.0"/>
    <col customWidth="1" min="7" max="26" width="8.71"/>
  </cols>
  <sheetData>
    <row r="1" ht="25.5" customHeight="1">
      <c r="A1" s="1" t="s">
        <v>3</v>
      </c>
    </row>
    <row r="2" ht="15.0" customHeight="1">
      <c r="A2" s="2" t="s">
        <v>7</v>
      </c>
    </row>
    <row r="3">
      <c r="A3" s="3"/>
      <c r="B3" s="3"/>
      <c r="C3" s="3"/>
      <c r="D3" s="3"/>
      <c r="E3" s="3"/>
      <c r="F3" s="3"/>
    </row>
    <row r="4" ht="27.75" customHeight="1">
      <c r="A4" s="7"/>
      <c r="B4" s="7" t="s">
        <v>19</v>
      </c>
      <c r="C4" s="7" t="s">
        <v>21</v>
      </c>
      <c r="D4" s="7" t="s">
        <v>23</v>
      </c>
      <c r="E4" s="7" t="s">
        <v>24</v>
      </c>
      <c r="F4" s="7" t="s">
        <v>25</v>
      </c>
    </row>
    <row r="5" ht="15.0" customHeight="1">
      <c r="A5" s="3"/>
      <c r="B5" s="10" t="s">
        <v>30</v>
      </c>
      <c r="C5" s="19">
        <f>'US National Model'!C13</f>
        <v>12.96</v>
      </c>
      <c r="D5" s="19">
        <f>'US National Model'!C16</f>
        <v>5.184</v>
      </c>
      <c r="E5" s="19">
        <f>'US National Model'!C19</f>
        <v>0.07776</v>
      </c>
      <c r="F5" s="19">
        <f>'US National Model'!C21</f>
        <v>0.15552</v>
      </c>
    </row>
    <row r="6" ht="15.0" customHeight="1">
      <c r="A6" s="3"/>
      <c r="B6" s="22" t="s">
        <v>68</v>
      </c>
      <c r="C6" s="23">
        <f>'Canada National Model'!D13</f>
        <v>0.44318592</v>
      </c>
      <c r="D6" s="23">
        <f>'Canada National Model'!D16</f>
        <v>0.177274368</v>
      </c>
      <c r="E6" s="23">
        <f>'Canada National Model'!D19</f>
        <v>0.00265911552</v>
      </c>
      <c r="F6" s="23">
        <f>'Canada National Model'!D21</f>
        <v>0.00531823104</v>
      </c>
    </row>
    <row r="7" ht="15.0" customHeight="1">
      <c r="A7" s="3"/>
      <c r="B7" s="25" t="s">
        <v>86</v>
      </c>
      <c r="C7" s="27">
        <f t="shared" ref="C7:F7" si="1">SUM(C5:C6)</f>
        <v>13.40318592</v>
      </c>
      <c r="D7" s="27">
        <f t="shared" si="1"/>
        <v>5.361274368</v>
      </c>
      <c r="E7" s="27">
        <f t="shared" si="1"/>
        <v>0.08041911552</v>
      </c>
      <c r="F7" s="27">
        <f t="shared" si="1"/>
        <v>0.160838231</v>
      </c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 ht="18.0" customHeight="1">
      <c r="A10" s="3"/>
      <c r="B10" s="8" t="s">
        <v>101</v>
      </c>
      <c r="C10" s="9"/>
      <c r="D10" s="9"/>
      <c r="E10" s="9"/>
      <c r="F10" s="12"/>
    </row>
    <row r="11" ht="24.0" customHeight="1">
      <c r="A11" s="7"/>
      <c r="B11" s="7" t="s">
        <v>105</v>
      </c>
      <c r="C11" s="7" t="s">
        <v>106</v>
      </c>
      <c r="D11" s="7" t="s">
        <v>107</v>
      </c>
      <c r="E11" s="7" t="s">
        <v>108</v>
      </c>
      <c r="F11" s="7" t="s">
        <v>109</v>
      </c>
    </row>
    <row r="12" ht="15.0" customHeight="1">
      <c r="A12" s="3"/>
      <c r="B12" s="10" t="s">
        <v>110</v>
      </c>
      <c r="C12" s="28">
        <f t="array" ref="C12">INDEX('US State Breakdown'!$G$5:$G$55,MATCH($B12,'US State Breakdown'!$B$5:$B$55,0))</f>
        <v>1578.165135</v>
      </c>
      <c r="D12" s="28">
        <f t="array" ref="D12">INDEX('US State Breakdown'!$H$5:$H$55,MATCH($B12,'US State Breakdown'!$B$5:$B$55,0))</f>
        <v>631.2660541</v>
      </c>
      <c r="E12" s="28">
        <f t="array" ref="E12">INDEX('US State Breakdown'!$I$5:$I$55,MATCH($B12,'US State Breakdown'!$B$5:$B$55,0))</f>
        <v>9.468990812</v>
      </c>
      <c r="F12" s="28">
        <f t="array" ref="F12">INDEX('US State Breakdown'!$J$5:$J$55,MATCH($B12,'US State Breakdown'!$B$5:$B$55,0))</f>
        <v>18.93798162</v>
      </c>
    </row>
    <row r="13" ht="15.0" customHeight="1">
      <c r="A13" s="3"/>
      <c r="B13" s="10" t="s">
        <v>111</v>
      </c>
      <c r="C13" s="28">
        <f t="array" ref="C13">INDEX('US State Breakdown'!$G$5:$G$55,MATCH($B13,'US State Breakdown'!$B$5:$B$55,0))</f>
        <v>1085.638873</v>
      </c>
      <c r="D13" s="28">
        <f t="array" ref="D13">INDEX('US State Breakdown'!$H$5:$H$55,MATCH($B13,'US State Breakdown'!$B$5:$B$55,0))</f>
        <v>434.2555493</v>
      </c>
      <c r="E13" s="28">
        <f t="array" ref="E13">INDEX('US State Breakdown'!$I$5:$I$55,MATCH($B13,'US State Breakdown'!$B$5:$B$55,0))</f>
        <v>6.51383324</v>
      </c>
      <c r="F13" s="28">
        <f t="array" ref="F13">INDEX('US State Breakdown'!$J$5:$J$55,MATCH($B13,'US State Breakdown'!$B$5:$B$55,0))</f>
        <v>13.02766648</v>
      </c>
    </row>
    <row r="14" ht="15.0" customHeight="1">
      <c r="A14" s="3"/>
      <c r="B14" s="10" t="s">
        <v>120</v>
      </c>
      <c r="C14" s="28">
        <f t="array" ref="C14">INDEX('US State Breakdown'!$G$5:$G$55,MATCH($B14,'US State Breakdown'!$B$5:$B$55,0))</f>
        <v>935.6457425</v>
      </c>
      <c r="D14" s="28">
        <f t="array" ref="D14">INDEX('US State Breakdown'!$H$5:$H$55,MATCH($B14,'US State Breakdown'!$B$5:$B$55,0))</f>
        <v>374.258297</v>
      </c>
      <c r="E14" s="28">
        <f t="array" ref="E14">INDEX('US State Breakdown'!$I$5:$I$55,MATCH($B14,'US State Breakdown'!$B$5:$B$55,0))</f>
        <v>5.613874455</v>
      </c>
      <c r="F14" s="28">
        <f t="array" ref="F14">INDEX('US State Breakdown'!$J$5:$J$55,MATCH($B14,'US State Breakdown'!$B$5:$B$55,0))</f>
        <v>11.22774891</v>
      </c>
    </row>
    <row r="15" ht="15.0" customHeight="1">
      <c r="A15" s="3"/>
      <c r="B15" s="10" t="s">
        <v>126</v>
      </c>
      <c r="C15" s="28">
        <f t="array" ref="C15">INDEX('US State Breakdown'!$G$5:$G$55,MATCH($B15,'US State Breakdown'!$B$5:$B$55,0))</f>
        <v>919.8448217</v>
      </c>
      <c r="D15" s="28">
        <f t="array" ref="D15">INDEX('US State Breakdown'!$H$5:$H$55,MATCH($B15,'US State Breakdown'!$B$5:$B$55,0))</f>
        <v>367.9379287</v>
      </c>
      <c r="E15" s="28">
        <f t="array" ref="E15">INDEX('US State Breakdown'!$I$5:$I$55,MATCH($B15,'US State Breakdown'!$B$5:$B$55,0))</f>
        <v>5.51906893</v>
      </c>
      <c r="F15" s="28">
        <f t="array" ref="F15">INDEX('US State Breakdown'!$J$5:$J$55,MATCH($B15,'US State Breakdown'!$B$5:$B$55,0))</f>
        <v>11.03813786</v>
      </c>
    </row>
    <row r="16" ht="15.0" customHeight="1">
      <c r="A16" s="3"/>
      <c r="B16" s="10" t="s">
        <v>138</v>
      </c>
      <c r="C16" s="28">
        <f t="array" ref="C16">INDEX('US State Breakdown'!$G$5:$G$55,MATCH($B16,'US State Breakdown'!$B$5:$B$55,0))</f>
        <v>530.1016224</v>
      </c>
      <c r="D16" s="28">
        <f t="array" ref="D16">INDEX('US State Breakdown'!$H$5:$H$55,MATCH($B16,'US State Breakdown'!$B$5:$B$55,0))</f>
        <v>212.040649</v>
      </c>
      <c r="E16" s="28">
        <f t="array" ref="E16">INDEX('US State Breakdown'!$I$5:$I$55,MATCH($B16,'US State Breakdown'!$B$5:$B$55,0))</f>
        <v>3.180609734</v>
      </c>
      <c r="F16" s="28">
        <f t="array" ref="F16">INDEX('US State Breakdown'!$J$5:$J$55,MATCH($B16,'US State Breakdown'!$B$5:$B$55,0))</f>
        <v>6.361219469</v>
      </c>
    </row>
    <row r="17" ht="15.0" customHeight="1">
      <c r="A17" s="3"/>
      <c r="B17" s="10" t="s">
        <v>139</v>
      </c>
      <c r="C17" s="28">
        <f t="array" ref="C17">INDEX('US State Breakdown'!$G$5:$G$55,MATCH($B17,'US State Breakdown'!$B$5:$B$55,0))</f>
        <v>475.877487</v>
      </c>
      <c r="D17" s="28">
        <f t="array" ref="D17">INDEX('US State Breakdown'!$H$5:$H$55,MATCH($B17,'US State Breakdown'!$B$5:$B$55,0))</f>
        <v>190.3509948</v>
      </c>
      <c r="E17" s="28">
        <f t="array" ref="E17">INDEX('US State Breakdown'!$I$5:$I$55,MATCH($B17,'US State Breakdown'!$B$5:$B$55,0))</f>
        <v>2.855264922</v>
      </c>
      <c r="F17" s="28">
        <f t="array" ref="F17">INDEX('US State Breakdown'!$J$5:$J$55,MATCH($B17,'US State Breakdown'!$B$5:$B$55,0))</f>
        <v>5.710529844</v>
      </c>
    </row>
    <row r="18" ht="15.0" customHeight="1">
      <c r="A18" s="3"/>
      <c r="B18" s="10" t="s">
        <v>140</v>
      </c>
      <c r="C18" s="28">
        <f t="array" ref="C18">INDEX('US State Breakdown'!$G$5:$G$55,MATCH($B18,'US State Breakdown'!$B$5:$B$55,0))</f>
        <v>458.6120906</v>
      </c>
      <c r="D18" s="28">
        <f t="array" ref="D18">INDEX('US State Breakdown'!$H$5:$H$55,MATCH($B18,'US State Breakdown'!$B$5:$B$55,0))</f>
        <v>183.4448362</v>
      </c>
      <c r="E18" s="28">
        <f t="array" ref="E18">INDEX('US State Breakdown'!$I$5:$I$55,MATCH($B18,'US State Breakdown'!$B$5:$B$55,0))</f>
        <v>2.751672544</v>
      </c>
      <c r="F18" s="28">
        <f t="array" ref="F18">INDEX('US State Breakdown'!$J$5:$J$55,MATCH($B18,'US State Breakdown'!$B$5:$B$55,0))</f>
        <v>5.503345087</v>
      </c>
    </row>
    <row r="19" ht="15.0" customHeight="1">
      <c r="A19" s="3"/>
      <c r="B19" s="10" t="s">
        <v>141</v>
      </c>
      <c r="C19" s="28">
        <f t="array" ref="C19">INDEX('US State Breakdown'!$G$5:$G$55,MATCH($B19,'US State Breakdown'!$B$5:$B$55,0))</f>
        <v>402.7307854</v>
      </c>
      <c r="D19" s="28">
        <f t="array" ref="D19">INDEX('US State Breakdown'!$H$5:$H$55,MATCH($B19,'US State Breakdown'!$B$5:$B$55,0))</f>
        <v>161.0923142</v>
      </c>
      <c r="E19" s="28">
        <f t="array" ref="E19">INDEX('US State Breakdown'!$I$5:$I$55,MATCH($B19,'US State Breakdown'!$B$5:$B$55,0))</f>
        <v>2.416384713</v>
      </c>
      <c r="F19" s="28">
        <f t="array" ref="F19">INDEX('US State Breakdown'!$J$5:$J$55,MATCH($B19,'US State Breakdown'!$B$5:$B$55,0))</f>
        <v>4.832769425</v>
      </c>
    </row>
    <row r="20" ht="15.0" customHeight="1">
      <c r="A20" s="3"/>
      <c r="B20" s="10" t="s">
        <v>142</v>
      </c>
      <c r="C20" s="28">
        <f t="array" ref="C20">INDEX('US State Breakdown'!$G$5:$G$55,MATCH($B20,'US State Breakdown'!$B$5:$B$55,0))</f>
        <v>389.2421945</v>
      </c>
      <c r="D20" s="28">
        <f t="array" ref="D20">INDEX('US State Breakdown'!$H$5:$H$55,MATCH($B20,'US State Breakdown'!$B$5:$B$55,0))</f>
        <v>155.6968778</v>
      </c>
      <c r="E20" s="28">
        <f t="array" ref="E20">INDEX('US State Breakdown'!$I$5:$I$55,MATCH($B20,'US State Breakdown'!$B$5:$B$55,0))</f>
        <v>2.335453167</v>
      </c>
      <c r="F20" s="28">
        <f t="array" ref="F20">INDEX('US State Breakdown'!$J$5:$J$55,MATCH($B20,'US State Breakdown'!$B$5:$B$55,0))</f>
        <v>4.670906335</v>
      </c>
    </row>
    <row r="21" ht="15.0" customHeight="1">
      <c r="A21" s="3"/>
      <c r="B21" s="10" t="s">
        <v>143</v>
      </c>
      <c r="C21" s="28">
        <f t="array" ref="C21">INDEX('US State Breakdown'!$G$5:$G$55,MATCH($B21,'US State Breakdown'!$B$5:$B$55,0))</f>
        <v>381.5344283</v>
      </c>
      <c r="D21" s="28">
        <f t="array" ref="D21">INDEX('US State Breakdown'!$H$5:$H$55,MATCH($B21,'US State Breakdown'!$B$5:$B$55,0))</f>
        <v>152.6137713</v>
      </c>
      <c r="E21" s="28">
        <f t="array" ref="E21">INDEX('US State Breakdown'!$I$5:$I$55,MATCH($B21,'US State Breakdown'!$B$5:$B$55,0))</f>
        <v>2.28920657</v>
      </c>
      <c r="F21" s="28">
        <f t="array" ref="F21">INDEX('US State Breakdown'!$J$5:$J$55,MATCH($B21,'US State Breakdown'!$B$5:$B$55,0))</f>
        <v>4.57841314</v>
      </c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8.0" customHeight="1">
      <c r="A24" s="3"/>
      <c r="B24" s="8" t="s">
        <v>144</v>
      </c>
      <c r="C24" s="9"/>
      <c r="D24" s="9"/>
      <c r="E24" s="9"/>
      <c r="F24" s="12"/>
    </row>
    <row r="25" ht="24.0" customHeight="1">
      <c r="A25" s="7"/>
      <c r="B25" s="7" t="s">
        <v>145</v>
      </c>
      <c r="C25" s="7" t="s">
        <v>146</v>
      </c>
      <c r="D25" s="7" t="s">
        <v>147</v>
      </c>
      <c r="E25" s="7" t="s">
        <v>148</v>
      </c>
      <c r="F25" s="7" t="s">
        <v>149</v>
      </c>
    </row>
    <row r="26" ht="15.0" customHeight="1">
      <c r="A26" s="3"/>
      <c r="B26" s="10" t="s">
        <v>150</v>
      </c>
      <c r="C26" s="28">
        <f t="array" ref="C26">INDEX('Canada Province Breakdown'!$G$5:$G$17,MATCH($B26,'Canada Province Breakdown'!$B$5:$B$17,0))</f>
        <v>165.1580807</v>
      </c>
      <c r="D26" s="28">
        <f t="array" ref="D26">INDEX('Canada Province Breakdown'!$H$5:$H$17,MATCH($B26,'Canada Province Breakdown'!$B$5:$B$17,0))</f>
        <v>66.06323229</v>
      </c>
      <c r="E26" s="28">
        <f t="array" ref="E26">INDEX('Canada Province Breakdown'!$I$5:$I$17,MATCH($B26,'Canada Province Breakdown'!$B$5:$B$17,0))</f>
        <v>0.9909484843</v>
      </c>
      <c r="F26" s="28">
        <f t="array" ref="F26">INDEX('Canada Province Breakdown'!$J$5:$J$17,MATCH($B26,'Canada Province Breakdown'!$B$5:$B$17,0))</f>
        <v>1.981896969</v>
      </c>
    </row>
    <row r="27" ht="15.0" customHeight="1">
      <c r="A27" s="3"/>
      <c r="B27" s="10" t="s">
        <v>151</v>
      </c>
      <c r="C27" s="28">
        <f t="array" ref="C27">INDEX('Canada Province Breakdown'!$G$5:$G$17,MATCH($B27,'Canada Province Breakdown'!$B$5:$B$17,0))</f>
        <v>97.92850888</v>
      </c>
      <c r="D27" s="28">
        <f t="array" ref="D27">INDEX('Canada Province Breakdown'!$H$5:$H$17,MATCH($B27,'Canada Province Breakdown'!$B$5:$B$17,0))</f>
        <v>39.17140355</v>
      </c>
      <c r="E27" s="28">
        <f t="array" ref="E27">INDEX('Canada Province Breakdown'!$I$5:$I$17,MATCH($B27,'Canada Province Breakdown'!$B$5:$B$17,0))</f>
        <v>0.5875710533</v>
      </c>
      <c r="F27" s="28">
        <f t="array" ref="F27">INDEX('Canada Province Breakdown'!$J$5:$J$17,MATCH($B27,'Canada Province Breakdown'!$B$5:$B$17,0))</f>
        <v>1.175142107</v>
      </c>
    </row>
    <row r="28" ht="15.0" customHeight="1">
      <c r="A28" s="3"/>
      <c r="B28" s="10" t="s">
        <v>153</v>
      </c>
      <c r="C28" s="28">
        <f t="array" ref="C28">INDEX('Canada Province Breakdown'!$G$5:$G$17,MATCH($B28,'Canada Province Breakdown'!$B$5:$B$17,0))</f>
        <v>61.61793817</v>
      </c>
      <c r="D28" s="28">
        <f t="array" ref="D28">INDEX('Canada Province Breakdown'!$H$5:$H$17,MATCH($B28,'Canada Province Breakdown'!$B$5:$B$17,0))</f>
        <v>24.64717527</v>
      </c>
      <c r="E28" s="28">
        <f t="array" ref="E28">INDEX('Canada Province Breakdown'!$I$5:$I$17,MATCH($B28,'Canada Province Breakdown'!$B$5:$B$17,0))</f>
        <v>0.369707629</v>
      </c>
      <c r="F28" s="28">
        <f t="array" ref="F28">INDEX('Canada Province Breakdown'!$J$5:$J$17,MATCH($B28,'Canada Province Breakdown'!$B$5:$B$17,0))</f>
        <v>0.7394152581</v>
      </c>
    </row>
    <row r="29" ht="15.0" customHeight="1">
      <c r="A29" s="3"/>
      <c r="B29" s="10" t="s">
        <v>154</v>
      </c>
      <c r="C29" s="28">
        <f t="array" ref="C29">INDEX('Canada Province Breakdown'!$G$5:$G$17,MATCH($B29,'Canada Province Breakdown'!$B$5:$B$17,0))</f>
        <v>51.75906807</v>
      </c>
      <c r="D29" s="28">
        <f t="array" ref="D29">INDEX('Canada Province Breakdown'!$H$5:$H$17,MATCH($B29,'Canada Province Breakdown'!$B$5:$B$17,0))</f>
        <v>20.70362723</v>
      </c>
      <c r="E29" s="28">
        <f t="array" ref="E29">INDEX('Canada Province Breakdown'!$I$5:$I$17,MATCH($B29,'Canada Province Breakdown'!$B$5:$B$17,0))</f>
        <v>0.3105544084</v>
      </c>
      <c r="F29" s="28">
        <f t="array" ref="F29">INDEX('Canada Province Breakdown'!$J$5:$J$17,MATCH($B29,'Canada Province Breakdown'!$B$5:$B$17,0))</f>
        <v>0.6211088168</v>
      </c>
    </row>
    <row r="30" ht="15.0" customHeight="1">
      <c r="A30" s="3"/>
      <c r="B30" s="10" t="s">
        <v>155</v>
      </c>
      <c r="C30" s="28">
        <f t="array" ref="C30">INDEX('Canada Province Breakdown'!$G$5:$G$17,MATCH($B30,'Canada Province Breakdown'!$B$5:$B$17,0))</f>
        <v>17.33004511</v>
      </c>
      <c r="D30" s="28">
        <f t="array" ref="D30">INDEX('Canada Province Breakdown'!$H$5:$H$17,MATCH($B30,'Canada Province Breakdown'!$B$5:$B$17,0))</f>
        <v>6.932018045</v>
      </c>
      <c r="E30" s="28">
        <f t="array" ref="E30">INDEX('Canada Province Breakdown'!$I$5:$I$17,MATCH($B30,'Canada Province Breakdown'!$B$5:$B$17,0))</f>
        <v>0.1039802707</v>
      </c>
      <c r="F30" s="28">
        <f t="array" ref="F30">INDEX('Canada Province Breakdown'!$J$5:$J$17,MATCH($B30,'Canada Province Breakdown'!$B$5:$B$17,0))</f>
        <v>0.2079605413</v>
      </c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0" customHeight="1">
      <c r="A33" s="3"/>
      <c r="B33" s="21" t="s">
        <v>156</v>
      </c>
    </row>
    <row r="34" ht="15.0" customHeight="1">
      <c r="A34" s="3"/>
    </row>
    <row r="35" ht="15.0" customHeight="1">
      <c r="A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5">
    <mergeCell ref="A1:F1"/>
    <mergeCell ref="A2:F2"/>
    <mergeCell ref="B10:F10"/>
    <mergeCell ref="B24:F24"/>
    <mergeCell ref="B33:F3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30.0"/>
    <col customWidth="1" min="3" max="11" width="13.0"/>
    <col customWidth="1" min="12" max="26" width="8.71"/>
  </cols>
  <sheetData>
    <row r="1" ht="25.5" customHeight="1">
      <c r="A1" s="1" t="s">
        <v>0</v>
      </c>
    </row>
    <row r="2">
      <c r="A2" s="2" t="s">
        <v>6</v>
      </c>
    </row>
    <row r="4" ht="19.5" customHeight="1">
      <c r="B4" s="6" t="s">
        <v>8</v>
      </c>
      <c r="C4" s="9"/>
      <c r="D4" s="9"/>
      <c r="E4" s="9"/>
      <c r="F4" s="9"/>
      <c r="G4" s="9"/>
      <c r="H4" s="9"/>
      <c r="I4" s="9"/>
      <c r="J4" s="9"/>
      <c r="K4" s="12"/>
    </row>
    <row r="5">
      <c r="B5" s="10" t="s">
        <v>18</v>
      </c>
      <c r="C5" s="11">
        <v>160.0</v>
      </c>
    </row>
    <row r="6">
      <c r="B6" s="10" t="s">
        <v>27</v>
      </c>
      <c r="C6" s="11">
        <v>175.0</v>
      </c>
    </row>
    <row r="7">
      <c r="B7" s="10" t="s">
        <v>32</v>
      </c>
      <c r="C7" s="16">
        <v>20.0</v>
      </c>
    </row>
    <row r="8">
      <c r="B8" s="10" t="s">
        <v>39</v>
      </c>
      <c r="C8" s="16">
        <v>30.0</v>
      </c>
    </row>
    <row r="9">
      <c r="B9" s="10" t="s">
        <v>43</v>
      </c>
      <c r="C9" s="15">
        <v>0.75</v>
      </c>
    </row>
    <row r="10">
      <c r="B10" s="10" t="s">
        <v>47</v>
      </c>
      <c r="C10" s="15">
        <v>0.5</v>
      </c>
    </row>
    <row r="11">
      <c r="B11" s="10" t="s">
        <v>49</v>
      </c>
      <c r="C11" s="18">
        <v>50.0</v>
      </c>
    </row>
    <row r="12">
      <c r="B12" s="10" t="s">
        <v>52</v>
      </c>
      <c r="C12" s="15">
        <v>0.15</v>
      </c>
    </row>
    <row r="13">
      <c r="B13" s="10" t="s">
        <v>53</v>
      </c>
      <c r="C13" s="11">
        <v>3.0</v>
      </c>
    </row>
    <row r="14">
      <c r="B14" s="10" t="s">
        <v>54</v>
      </c>
      <c r="C14" s="11">
        <v>2.0</v>
      </c>
    </row>
    <row r="15">
      <c r="B15" s="10" t="s">
        <v>57</v>
      </c>
      <c r="C15" s="20">
        <v>0.2</v>
      </c>
    </row>
    <row r="16" ht="15.0" customHeight="1">
      <c r="B16" s="21" t="s">
        <v>62</v>
      </c>
    </row>
    <row r="19" ht="19.5" customHeight="1">
      <c r="B19" s="6" t="s">
        <v>64</v>
      </c>
      <c r="C19" s="9"/>
      <c r="D19" s="9"/>
      <c r="E19" s="9"/>
      <c r="F19" s="9"/>
      <c r="G19" s="9"/>
      <c r="H19" s="9"/>
      <c r="I19" s="9"/>
      <c r="J19" s="9"/>
      <c r="K19" s="12"/>
    </row>
    <row r="20" ht="42.0" customHeight="1">
      <c r="A20" s="7"/>
      <c r="B20" s="7" t="s">
        <v>69</v>
      </c>
      <c r="C20" s="7" t="s">
        <v>70</v>
      </c>
      <c r="D20" s="7" t="s">
        <v>71</v>
      </c>
      <c r="E20" s="7" t="s">
        <v>73</v>
      </c>
      <c r="F20" s="7" t="s">
        <v>74</v>
      </c>
      <c r="G20" s="7" t="s">
        <v>75</v>
      </c>
      <c r="H20" s="7" t="s">
        <v>76</v>
      </c>
      <c r="I20" s="7" t="s">
        <v>77</v>
      </c>
      <c r="J20" s="7" t="s">
        <v>78</v>
      </c>
      <c r="K20" s="7" t="s">
        <v>79</v>
      </c>
    </row>
    <row r="21" ht="15.75" customHeight="1">
      <c r="B21" s="24">
        <v>10.0</v>
      </c>
      <c r="C21" s="26">
        <f t="shared" ref="C21:C24" si="2">$B21*$C$5</f>
        <v>1600</v>
      </c>
      <c r="D21" s="26">
        <f t="shared" ref="D21:D24" si="3">$B21*$C$6</f>
        <v>1750</v>
      </c>
      <c r="E21" s="28">
        <f t="shared" ref="E21:E24" si="4">C21*$C$7</f>
        <v>32000</v>
      </c>
      <c r="F21" s="28">
        <f t="shared" ref="F21:F24" si="5">D21*$C$8</f>
        <v>52500</v>
      </c>
      <c r="G21" s="28">
        <f t="shared" ref="G21:H21" si="1">E21*$C$9*$C$10</f>
        <v>12000</v>
      </c>
      <c r="H21" s="28">
        <f t="shared" si="1"/>
        <v>19687.5</v>
      </c>
      <c r="I21" s="29">
        <f t="shared" ref="I21:I24" si="7">AVERAGE(G21:H21)*$C$15</f>
        <v>3168.75</v>
      </c>
      <c r="J21" s="28">
        <f t="shared" ref="J21:J24" si="8">I21/B21</f>
        <v>316.875</v>
      </c>
      <c r="K21" s="28">
        <f t="shared" ref="K21:K24" si="9">(34+0.25*B21+3*$C$13+4*$C$14)*$C$11*(1+$C$12)</f>
        <v>3076.25</v>
      </c>
    </row>
    <row r="22" ht="15.75" customHeight="1">
      <c r="B22" s="24">
        <v>25.0</v>
      </c>
      <c r="C22" s="30">
        <f t="shared" si="2"/>
        <v>4000</v>
      </c>
      <c r="D22" s="30">
        <f t="shared" si="3"/>
        <v>4375</v>
      </c>
      <c r="E22" s="31">
        <f t="shared" si="4"/>
        <v>80000</v>
      </c>
      <c r="F22" s="31">
        <f t="shared" si="5"/>
        <v>131250</v>
      </c>
      <c r="G22" s="31">
        <f t="shared" ref="G22:H22" si="6">E22*$C$9*$C$10</f>
        <v>30000</v>
      </c>
      <c r="H22" s="31">
        <f t="shared" si="6"/>
        <v>49218.75</v>
      </c>
      <c r="I22" s="29">
        <f t="shared" si="7"/>
        <v>7921.875</v>
      </c>
      <c r="J22" s="31">
        <f t="shared" si="8"/>
        <v>316.875</v>
      </c>
      <c r="K22" s="31">
        <f t="shared" si="9"/>
        <v>3291.875</v>
      </c>
    </row>
    <row r="23" ht="15.75" customHeight="1">
      <c r="B23" s="24">
        <v>50.0</v>
      </c>
      <c r="C23" s="26">
        <f t="shared" si="2"/>
        <v>8000</v>
      </c>
      <c r="D23" s="26">
        <f t="shared" si="3"/>
        <v>8750</v>
      </c>
      <c r="E23" s="28">
        <f t="shared" si="4"/>
        <v>160000</v>
      </c>
      <c r="F23" s="28">
        <f t="shared" si="5"/>
        <v>262500</v>
      </c>
      <c r="G23" s="28">
        <f t="shared" ref="G23:H23" si="10">E23*$C$9*$C$10</f>
        <v>60000</v>
      </c>
      <c r="H23" s="28">
        <f t="shared" si="10"/>
        <v>98437.5</v>
      </c>
      <c r="I23" s="29">
        <f t="shared" si="7"/>
        <v>15843.75</v>
      </c>
      <c r="J23" s="28">
        <f t="shared" si="8"/>
        <v>316.875</v>
      </c>
      <c r="K23" s="28">
        <f t="shared" si="9"/>
        <v>3651.25</v>
      </c>
    </row>
    <row r="24" ht="15.75" customHeight="1">
      <c r="B24" s="24">
        <v>100.0</v>
      </c>
      <c r="C24" s="30">
        <f t="shared" si="2"/>
        <v>16000</v>
      </c>
      <c r="D24" s="30">
        <f t="shared" si="3"/>
        <v>17500</v>
      </c>
      <c r="E24" s="31">
        <f t="shared" si="4"/>
        <v>320000</v>
      </c>
      <c r="F24" s="31">
        <f t="shared" si="5"/>
        <v>525000</v>
      </c>
      <c r="G24" s="31">
        <f t="shared" ref="G24:H24" si="11">E24*$C$9*$C$10</f>
        <v>120000</v>
      </c>
      <c r="H24" s="31">
        <f t="shared" si="11"/>
        <v>196875</v>
      </c>
      <c r="I24" s="29">
        <f t="shared" si="7"/>
        <v>31687.5</v>
      </c>
      <c r="J24" s="31">
        <f t="shared" si="8"/>
        <v>316.875</v>
      </c>
      <c r="K24" s="31">
        <f t="shared" si="9"/>
        <v>4370</v>
      </c>
    </row>
    <row r="25" ht="15.0" customHeight="1">
      <c r="B25" s="21" t="s">
        <v>112</v>
      </c>
    </row>
    <row r="26" ht="15.75" customHeight="1"/>
    <row r="27" ht="15.75" customHeight="1"/>
    <row r="28" ht="15.75" customHeight="1"/>
    <row r="29" ht="19.5" customHeight="1">
      <c r="B29" s="6" t="s">
        <v>113</v>
      </c>
      <c r="C29" s="9"/>
      <c r="D29" s="9"/>
      <c r="E29" s="9"/>
      <c r="F29" s="9"/>
      <c r="G29" s="9"/>
      <c r="H29" s="9"/>
      <c r="I29" s="9"/>
      <c r="J29" s="9"/>
      <c r="K29" s="12"/>
    </row>
    <row r="30" ht="15.75" customHeight="1">
      <c r="B30" s="10" t="s">
        <v>114</v>
      </c>
      <c r="C30" s="16">
        <v>75000.0</v>
      </c>
    </row>
    <row r="31" ht="15.75" customHeight="1">
      <c r="B31" s="10" t="s">
        <v>115</v>
      </c>
      <c r="C31" s="16">
        <v>3000.0</v>
      </c>
    </row>
    <row r="32" ht="15.75" customHeight="1">
      <c r="B32" s="10" t="s">
        <v>116</v>
      </c>
      <c r="C32" s="11">
        <v>1.0</v>
      </c>
    </row>
    <row r="33" ht="15.75" customHeight="1">
      <c r="B33" s="10" t="s">
        <v>117</v>
      </c>
      <c r="C33" s="11">
        <v>2.0</v>
      </c>
    </row>
    <row r="34" ht="15.75" customHeight="1">
      <c r="B34" s="10" t="s">
        <v>118</v>
      </c>
      <c r="C34" s="11">
        <v>3.0</v>
      </c>
    </row>
    <row r="35" ht="15.0" customHeight="1">
      <c r="B35" s="21" t="s">
        <v>119</v>
      </c>
    </row>
    <row r="36" ht="15.75" customHeight="1"/>
    <row r="37" ht="15.75" customHeight="1"/>
    <row r="38" ht="19.5" customHeight="1">
      <c r="A38" s="7"/>
      <c r="B38" s="7" t="s">
        <v>121</v>
      </c>
      <c r="C38" s="7" t="s">
        <v>122</v>
      </c>
      <c r="D38" s="7" t="s">
        <v>123</v>
      </c>
    </row>
    <row r="39" ht="15.75" customHeight="1">
      <c r="B39" s="32" t="s">
        <v>124</v>
      </c>
      <c r="C39" s="33">
        <f>$C$32</f>
        <v>1</v>
      </c>
      <c r="D39" s="34">
        <f>IF(J69&lt;$C$30,"&gt;24 months",COUNTIF(J46:J69,"&lt;"&amp;$C$30)+1)</f>
        <v>7</v>
      </c>
    </row>
    <row r="40" ht="15.75" customHeight="1">
      <c r="B40" s="32" t="s">
        <v>125</v>
      </c>
      <c r="C40" s="33">
        <f>$C$33</f>
        <v>2</v>
      </c>
      <c r="D40" s="34">
        <f>IF(J97&lt;$C$30,"&gt;24 months",COUNTIF(J74:J97,"&lt;"&amp;$C$30)+1)</f>
        <v>4</v>
      </c>
    </row>
    <row r="41" ht="15.75" customHeight="1">
      <c r="B41" s="32" t="s">
        <v>127</v>
      </c>
      <c r="C41" s="33">
        <f>$C$34</f>
        <v>3</v>
      </c>
      <c r="D41" s="34">
        <f>IF(J125&lt;$C$30,"&gt;24 months",COUNTIF(J102:J125,"&lt;"&amp;$C$30)+1)</f>
        <v>3</v>
      </c>
    </row>
    <row r="42" ht="15.75" customHeight="1"/>
    <row r="43" ht="15.75" customHeight="1"/>
    <row r="44" ht="19.5" customHeight="1">
      <c r="B44" s="6" t="s">
        <v>128</v>
      </c>
      <c r="C44" s="9"/>
      <c r="D44" s="9"/>
      <c r="E44" s="9"/>
      <c r="F44" s="9"/>
      <c r="G44" s="9"/>
      <c r="H44" s="9"/>
      <c r="I44" s="9"/>
      <c r="J44" s="9"/>
      <c r="K44" s="12"/>
    </row>
    <row r="45" ht="31.5" customHeight="1">
      <c r="A45" s="7"/>
      <c r="B45" s="7" t="s">
        <v>129</v>
      </c>
      <c r="C45" s="7" t="s">
        <v>130</v>
      </c>
      <c r="D45" s="7" t="s">
        <v>131</v>
      </c>
      <c r="E45" s="7" t="s">
        <v>132</v>
      </c>
      <c r="F45" s="7" t="s">
        <v>133</v>
      </c>
      <c r="G45" s="7" t="s">
        <v>134</v>
      </c>
      <c r="H45" s="7" t="s">
        <v>135</v>
      </c>
      <c r="I45" s="7" t="s">
        <v>136</v>
      </c>
      <c r="J45" s="7" t="s">
        <v>137</v>
      </c>
    </row>
    <row r="46" ht="15.75" customHeight="1">
      <c r="B46" s="26">
        <v>1.0</v>
      </c>
      <c r="C46" s="26">
        <f t="shared" ref="C46:C69" si="12">$C$32</f>
        <v>1</v>
      </c>
      <c r="D46" s="26">
        <f>C46</f>
        <v>1</v>
      </c>
      <c r="E46" s="28">
        <f t="shared" ref="E46:E69" si="13">C46*$K$21</f>
        <v>3076.25</v>
      </c>
      <c r="F46" s="28">
        <f t="shared" ref="F46:F69" si="14">D46*$I$21</f>
        <v>3168.75</v>
      </c>
      <c r="G46" s="28">
        <f t="shared" ref="G46:G69" si="15">E46+F46</f>
        <v>6245</v>
      </c>
      <c r="H46" s="28">
        <f t="shared" ref="H46:H69" si="16">$C$31</f>
        <v>3000</v>
      </c>
      <c r="I46" s="28">
        <f t="shared" ref="I46:I69" si="17">G46-H46</f>
        <v>3245</v>
      </c>
      <c r="J46" s="28">
        <f>I46</f>
        <v>3245</v>
      </c>
    </row>
    <row r="47" ht="15.75" customHeight="1">
      <c r="B47" s="30">
        <v>2.0</v>
      </c>
      <c r="C47" s="30">
        <f t="shared" si="12"/>
        <v>1</v>
      </c>
      <c r="D47" s="30">
        <f t="shared" ref="D47:D69" si="18">D46+C47</f>
        <v>2</v>
      </c>
      <c r="E47" s="31">
        <f t="shared" si="13"/>
        <v>3076.25</v>
      </c>
      <c r="F47" s="31">
        <f t="shared" si="14"/>
        <v>6337.5</v>
      </c>
      <c r="G47" s="31">
        <f t="shared" si="15"/>
        <v>9413.75</v>
      </c>
      <c r="H47" s="31">
        <f t="shared" si="16"/>
        <v>3000</v>
      </c>
      <c r="I47" s="31">
        <f t="shared" si="17"/>
        <v>6413.75</v>
      </c>
      <c r="J47" s="31">
        <f t="shared" ref="J47:J69" si="19">J46+I47</f>
        <v>9658.75</v>
      </c>
    </row>
    <row r="48" ht="15.75" customHeight="1">
      <c r="B48" s="26">
        <v>3.0</v>
      </c>
      <c r="C48" s="26">
        <f t="shared" si="12"/>
        <v>1</v>
      </c>
      <c r="D48" s="26">
        <f t="shared" si="18"/>
        <v>3</v>
      </c>
      <c r="E48" s="28">
        <f t="shared" si="13"/>
        <v>3076.25</v>
      </c>
      <c r="F48" s="28">
        <f t="shared" si="14"/>
        <v>9506.25</v>
      </c>
      <c r="G48" s="28">
        <f t="shared" si="15"/>
        <v>12582.5</v>
      </c>
      <c r="H48" s="28">
        <f t="shared" si="16"/>
        <v>3000</v>
      </c>
      <c r="I48" s="28">
        <f t="shared" si="17"/>
        <v>9582.5</v>
      </c>
      <c r="J48" s="28">
        <f t="shared" si="19"/>
        <v>19241.25</v>
      </c>
    </row>
    <row r="49" ht="15.75" customHeight="1">
      <c r="B49" s="30">
        <v>4.0</v>
      </c>
      <c r="C49" s="30">
        <f t="shared" si="12"/>
        <v>1</v>
      </c>
      <c r="D49" s="30">
        <f t="shared" si="18"/>
        <v>4</v>
      </c>
      <c r="E49" s="31">
        <f t="shared" si="13"/>
        <v>3076.25</v>
      </c>
      <c r="F49" s="31">
        <f t="shared" si="14"/>
        <v>12675</v>
      </c>
      <c r="G49" s="31">
        <f t="shared" si="15"/>
        <v>15751.25</v>
      </c>
      <c r="H49" s="31">
        <f t="shared" si="16"/>
        <v>3000</v>
      </c>
      <c r="I49" s="31">
        <f t="shared" si="17"/>
        <v>12751.25</v>
      </c>
      <c r="J49" s="31">
        <f t="shared" si="19"/>
        <v>31992.5</v>
      </c>
    </row>
    <row r="50" ht="15.75" customHeight="1">
      <c r="B50" s="26">
        <v>5.0</v>
      </c>
      <c r="C50" s="26">
        <f t="shared" si="12"/>
        <v>1</v>
      </c>
      <c r="D50" s="26">
        <f t="shared" si="18"/>
        <v>5</v>
      </c>
      <c r="E50" s="28">
        <f t="shared" si="13"/>
        <v>3076.25</v>
      </c>
      <c r="F50" s="28">
        <f t="shared" si="14"/>
        <v>15843.75</v>
      </c>
      <c r="G50" s="28">
        <f t="shared" si="15"/>
        <v>18920</v>
      </c>
      <c r="H50" s="28">
        <f t="shared" si="16"/>
        <v>3000</v>
      </c>
      <c r="I50" s="28">
        <f t="shared" si="17"/>
        <v>15920</v>
      </c>
      <c r="J50" s="28">
        <f t="shared" si="19"/>
        <v>47912.5</v>
      </c>
    </row>
    <row r="51" ht="15.75" customHeight="1">
      <c r="B51" s="30">
        <v>6.0</v>
      </c>
      <c r="C51" s="30">
        <f t="shared" si="12"/>
        <v>1</v>
      </c>
      <c r="D51" s="30">
        <f t="shared" si="18"/>
        <v>6</v>
      </c>
      <c r="E51" s="31">
        <f t="shared" si="13"/>
        <v>3076.25</v>
      </c>
      <c r="F51" s="31">
        <f t="shared" si="14"/>
        <v>19012.5</v>
      </c>
      <c r="G51" s="31">
        <f t="shared" si="15"/>
        <v>22088.75</v>
      </c>
      <c r="H51" s="31">
        <f t="shared" si="16"/>
        <v>3000</v>
      </c>
      <c r="I51" s="31">
        <f t="shared" si="17"/>
        <v>19088.75</v>
      </c>
      <c r="J51" s="31">
        <f t="shared" si="19"/>
        <v>67001.25</v>
      </c>
    </row>
    <row r="52" ht="15.75" customHeight="1">
      <c r="B52" s="26">
        <v>7.0</v>
      </c>
      <c r="C52" s="26">
        <f t="shared" si="12"/>
        <v>1</v>
      </c>
      <c r="D52" s="26">
        <f t="shared" si="18"/>
        <v>7</v>
      </c>
      <c r="E52" s="28">
        <f t="shared" si="13"/>
        <v>3076.25</v>
      </c>
      <c r="F52" s="28">
        <f t="shared" si="14"/>
        <v>22181.25</v>
      </c>
      <c r="G52" s="28">
        <f t="shared" si="15"/>
        <v>25257.5</v>
      </c>
      <c r="H52" s="28">
        <f t="shared" si="16"/>
        <v>3000</v>
      </c>
      <c r="I52" s="28">
        <f t="shared" si="17"/>
        <v>22257.5</v>
      </c>
      <c r="J52" s="28">
        <f t="shared" si="19"/>
        <v>89258.75</v>
      </c>
    </row>
    <row r="53" ht="15.75" customHeight="1">
      <c r="B53" s="30">
        <v>8.0</v>
      </c>
      <c r="C53" s="30">
        <f t="shared" si="12"/>
        <v>1</v>
      </c>
      <c r="D53" s="30">
        <f t="shared" si="18"/>
        <v>8</v>
      </c>
      <c r="E53" s="31">
        <f t="shared" si="13"/>
        <v>3076.25</v>
      </c>
      <c r="F53" s="31">
        <f t="shared" si="14"/>
        <v>25350</v>
      </c>
      <c r="G53" s="31">
        <f t="shared" si="15"/>
        <v>28426.25</v>
      </c>
      <c r="H53" s="31">
        <f t="shared" si="16"/>
        <v>3000</v>
      </c>
      <c r="I53" s="31">
        <f t="shared" si="17"/>
        <v>25426.25</v>
      </c>
      <c r="J53" s="31">
        <f t="shared" si="19"/>
        <v>114685</v>
      </c>
    </row>
    <row r="54" ht="15.75" customHeight="1">
      <c r="B54" s="26">
        <v>9.0</v>
      </c>
      <c r="C54" s="26">
        <f t="shared" si="12"/>
        <v>1</v>
      </c>
      <c r="D54" s="26">
        <f t="shared" si="18"/>
        <v>9</v>
      </c>
      <c r="E54" s="28">
        <f t="shared" si="13"/>
        <v>3076.25</v>
      </c>
      <c r="F54" s="28">
        <f t="shared" si="14"/>
        <v>28518.75</v>
      </c>
      <c r="G54" s="28">
        <f t="shared" si="15"/>
        <v>31595</v>
      </c>
      <c r="H54" s="28">
        <f t="shared" si="16"/>
        <v>3000</v>
      </c>
      <c r="I54" s="28">
        <f t="shared" si="17"/>
        <v>28595</v>
      </c>
      <c r="J54" s="28">
        <f t="shared" si="19"/>
        <v>143280</v>
      </c>
    </row>
    <row r="55" ht="15.75" customHeight="1">
      <c r="B55" s="30">
        <v>10.0</v>
      </c>
      <c r="C55" s="30">
        <f t="shared" si="12"/>
        <v>1</v>
      </c>
      <c r="D55" s="30">
        <f t="shared" si="18"/>
        <v>10</v>
      </c>
      <c r="E55" s="31">
        <f t="shared" si="13"/>
        <v>3076.25</v>
      </c>
      <c r="F55" s="31">
        <f t="shared" si="14"/>
        <v>31687.5</v>
      </c>
      <c r="G55" s="31">
        <f t="shared" si="15"/>
        <v>34763.75</v>
      </c>
      <c r="H55" s="31">
        <f t="shared" si="16"/>
        <v>3000</v>
      </c>
      <c r="I55" s="31">
        <f t="shared" si="17"/>
        <v>31763.75</v>
      </c>
      <c r="J55" s="31">
        <f t="shared" si="19"/>
        <v>175043.75</v>
      </c>
    </row>
    <row r="56" ht="15.75" customHeight="1">
      <c r="B56" s="26">
        <v>11.0</v>
      </c>
      <c r="C56" s="26">
        <f t="shared" si="12"/>
        <v>1</v>
      </c>
      <c r="D56" s="26">
        <f t="shared" si="18"/>
        <v>11</v>
      </c>
      <c r="E56" s="28">
        <f t="shared" si="13"/>
        <v>3076.25</v>
      </c>
      <c r="F56" s="28">
        <f t="shared" si="14"/>
        <v>34856.25</v>
      </c>
      <c r="G56" s="28">
        <f t="shared" si="15"/>
        <v>37932.5</v>
      </c>
      <c r="H56" s="28">
        <f t="shared" si="16"/>
        <v>3000</v>
      </c>
      <c r="I56" s="28">
        <f t="shared" si="17"/>
        <v>34932.5</v>
      </c>
      <c r="J56" s="28">
        <f t="shared" si="19"/>
        <v>209976.25</v>
      </c>
    </row>
    <row r="57" ht="15.75" customHeight="1">
      <c r="B57" s="30">
        <v>12.0</v>
      </c>
      <c r="C57" s="30">
        <f t="shared" si="12"/>
        <v>1</v>
      </c>
      <c r="D57" s="30">
        <f t="shared" si="18"/>
        <v>12</v>
      </c>
      <c r="E57" s="31">
        <f t="shared" si="13"/>
        <v>3076.25</v>
      </c>
      <c r="F57" s="31">
        <f t="shared" si="14"/>
        <v>38025</v>
      </c>
      <c r="G57" s="31">
        <f t="shared" si="15"/>
        <v>41101.25</v>
      </c>
      <c r="H57" s="31">
        <f t="shared" si="16"/>
        <v>3000</v>
      </c>
      <c r="I57" s="31">
        <f t="shared" si="17"/>
        <v>38101.25</v>
      </c>
      <c r="J57" s="31">
        <f t="shared" si="19"/>
        <v>248077.5</v>
      </c>
    </row>
    <row r="58" ht="15.75" customHeight="1">
      <c r="B58" s="26">
        <v>13.0</v>
      </c>
      <c r="C58" s="26">
        <f t="shared" si="12"/>
        <v>1</v>
      </c>
      <c r="D58" s="26">
        <f t="shared" si="18"/>
        <v>13</v>
      </c>
      <c r="E58" s="28">
        <f t="shared" si="13"/>
        <v>3076.25</v>
      </c>
      <c r="F58" s="28">
        <f t="shared" si="14"/>
        <v>41193.75</v>
      </c>
      <c r="G58" s="28">
        <f t="shared" si="15"/>
        <v>44270</v>
      </c>
      <c r="H58" s="28">
        <f t="shared" si="16"/>
        <v>3000</v>
      </c>
      <c r="I58" s="28">
        <f t="shared" si="17"/>
        <v>41270</v>
      </c>
      <c r="J58" s="28">
        <f t="shared" si="19"/>
        <v>289347.5</v>
      </c>
    </row>
    <row r="59" ht="15.75" customHeight="1">
      <c r="B59" s="30">
        <v>14.0</v>
      </c>
      <c r="C59" s="30">
        <f t="shared" si="12"/>
        <v>1</v>
      </c>
      <c r="D59" s="30">
        <f t="shared" si="18"/>
        <v>14</v>
      </c>
      <c r="E59" s="31">
        <f t="shared" si="13"/>
        <v>3076.25</v>
      </c>
      <c r="F59" s="31">
        <f t="shared" si="14"/>
        <v>44362.5</v>
      </c>
      <c r="G59" s="31">
        <f t="shared" si="15"/>
        <v>47438.75</v>
      </c>
      <c r="H59" s="31">
        <f t="shared" si="16"/>
        <v>3000</v>
      </c>
      <c r="I59" s="31">
        <f t="shared" si="17"/>
        <v>44438.75</v>
      </c>
      <c r="J59" s="31">
        <f t="shared" si="19"/>
        <v>333786.25</v>
      </c>
    </row>
    <row r="60" ht="15.75" customHeight="1">
      <c r="B60" s="26">
        <v>15.0</v>
      </c>
      <c r="C60" s="26">
        <f t="shared" si="12"/>
        <v>1</v>
      </c>
      <c r="D60" s="26">
        <f t="shared" si="18"/>
        <v>15</v>
      </c>
      <c r="E60" s="28">
        <f t="shared" si="13"/>
        <v>3076.25</v>
      </c>
      <c r="F60" s="28">
        <f t="shared" si="14"/>
        <v>47531.25</v>
      </c>
      <c r="G60" s="28">
        <f t="shared" si="15"/>
        <v>50607.5</v>
      </c>
      <c r="H60" s="28">
        <f t="shared" si="16"/>
        <v>3000</v>
      </c>
      <c r="I60" s="28">
        <f t="shared" si="17"/>
        <v>47607.5</v>
      </c>
      <c r="J60" s="28">
        <f t="shared" si="19"/>
        <v>381393.75</v>
      </c>
    </row>
    <row r="61" ht="15.75" customHeight="1">
      <c r="B61" s="30">
        <v>16.0</v>
      </c>
      <c r="C61" s="30">
        <f t="shared" si="12"/>
        <v>1</v>
      </c>
      <c r="D61" s="30">
        <f t="shared" si="18"/>
        <v>16</v>
      </c>
      <c r="E61" s="31">
        <f t="shared" si="13"/>
        <v>3076.25</v>
      </c>
      <c r="F61" s="31">
        <f t="shared" si="14"/>
        <v>50700</v>
      </c>
      <c r="G61" s="31">
        <f t="shared" si="15"/>
        <v>53776.25</v>
      </c>
      <c r="H61" s="31">
        <f t="shared" si="16"/>
        <v>3000</v>
      </c>
      <c r="I61" s="31">
        <f t="shared" si="17"/>
        <v>50776.25</v>
      </c>
      <c r="J61" s="31">
        <f t="shared" si="19"/>
        <v>432170</v>
      </c>
    </row>
    <row r="62" ht="15.75" customHeight="1">
      <c r="B62" s="26">
        <v>17.0</v>
      </c>
      <c r="C62" s="26">
        <f t="shared" si="12"/>
        <v>1</v>
      </c>
      <c r="D62" s="26">
        <f t="shared" si="18"/>
        <v>17</v>
      </c>
      <c r="E62" s="28">
        <f t="shared" si="13"/>
        <v>3076.25</v>
      </c>
      <c r="F62" s="28">
        <f t="shared" si="14"/>
        <v>53868.75</v>
      </c>
      <c r="G62" s="28">
        <f t="shared" si="15"/>
        <v>56945</v>
      </c>
      <c r="H62" s="28">
        <f t="shared" si="16"/>
        <v>3000</v>
      </c>
      <c r="I62" s="28">
        <f t="shared" si="17"/>
        <v>53945</v>
      </c>
      <c r="J62" s="28">
        <f t="shared" si="19"/>
        <v>486115</v>
      </c>
    </row>
    <row r="63" ht="15.75" customHeight="1">
      <c r="B63" s="30">
        <v>18.0</v>
      </c>
      <c r="C63" s="30">
        <f t="shared" si="12"/>
        <v>1</v>
      </c>
      <c r="D63" s="30">
        <f t="shared" si="18"/>
        <v>18</v>
      </c>
      <c r="E63" s="31">
        <f t="shared" si="13"/>
        <v>3076.25</v>
      </c>
      <c r="F63" s="31">
        <f t="shared" si="14"/>
        <v>57037.5</v>
      </c>
      <c r="G63" s="31">
        <f t="shared" si="15"/>
        <v>60113.75</v>
      </c>
      <c r="H63" s="31">
        <f t="shared" si="16"/>
        <v>3000</v>
      </c>
      <c r="I63" s="31">
        <f t="shared" si="17"/>
        <v>57113.75</v>
      </c>
      <c r="J63" s="31">
        <f t="shared" si="19"/>
        <v>543228.75</v>
      </c>
    </row>
    <row r="64" ht="15.75" customHeight="1">
      <c r="B64" s="26">
        <v>19.0</v>
      </c>
      <c r="C64" s="26">
        <f t="shared" si="12"/>
        <v>1</v>
      </c>
      <c r="D64" s="26">
        <f t="shared" si="18"/>
        <v>19</v>
      </c>
      <c r="E64" s="28">
        <f t="shared" si="13"/>
        <v>3076.25</v>
      </c>
      <c r="F64" s="28">
        <f t="shared" si="14"/>
        <v>60206.25</v>
      </c>
      <c r="G64" s="28">
        <f t="shared" si="15"/>
        <v>63282.5</v>
      </c>
      <c r="H64" s="28">
        <f t="shared" si="16"/>
        <v>3000</v>
      </c>
      <c r="I64" s="28">
        <f t="shared" si="17"/>
        <v>60282.5</v>
      </c>
      <c r="J64" s="28">
        <f t="shared" si="19"/>
        <v>603511.25</v>
      </c>
    </row>
    <row r="65" ht="15.75" customHeight="1">
      <c r="B65" s="30">
        <v>20.0</v>
      </c>
      <c r="C65" s="30">
        <f t="shared" si="12"/>
        <v>1</v>
      </c>
      <c r="D65" s="30">
        <f t="shared" si="18"/>
        <v>20</v>
      </c>
      <c r="E65" s="31">
        <f t="shared" si="13"/>
        <v>3076.25</v>
      </c>
      <c r="F65" s="31">
        <f t="shared" si="14"/>
        <v>63375</v>
      </c>
      <c r="G65" s="31">
        <f t="shared" si="15"/>
        <v>66451.25</v>
      </c>
      <c r="H65" s="31">
        <f t="shared" si="16"/>
        <v>3000</v>
      </c>
      <c r="I65" s="31">
        <f t="shared" si="17"/>
        <v>63451.25</v>
      </c>
      <c r="J65" s="31">
        <f t="shared" si="19"/>
        <v>666962.5</v>
      </c>
    </row>
    <row r="66" ht="15.75" customHeight="1">
      <c r="B66" s="26">
        <v>21.0</v>
      </c>
      <c r="C66" s="26">
        <f t="shared" si="12"/>
        <v>1</v>
      </c>
      <c r="D66" s="26">
        <f t="shared" si="18"/>
        <v>21</v>
      </c>
      <c r="E66" s="28">
        <f t="shared" si="13"/>
        <v>3076.25</v>
      </c>
      <c r="F66" s="28">
        <f t="shared" si="14"/>
        <v>66543.75</v>
      </c>
      <c r="G66" s="28">
        <f t="shared" si="15"/>
        <v>69620</v>
      </c>
      <c r="H66" s="28">
        <f t="shared" si="16"/>
        <v>3000</v>
      </c>
      <c r="I66" s="28">
        <f t="shared" si="17"/>
        <v>66620</v>
      </c>
      <c r="J66" s="28">
        <f t="shared" si="19"/>
        <v>733582.5</v>
      </c>
    </row>
    <row r="67" ht="15.75" customHeight="1">
      <c r="B67" s="30">
        <v>22.0</v>
      </c>
      <c r="C67" s="30">
        <f t="shared" si="12"/>
        <v>1</v>
      </c>
      <c r="D67" s="30">
        <f t="shared" si="18"/>
        <v>22</v>
      </c>
      <c r="E67" s="31">
        <f t="shared" si="13"/>
        <v>3076.25</v>
      </c>
      <c r="F67" s="31">
        <f t="shared" si="14"/>
        <v>69712.5</v>
      </c>
      <c r="G67" s="31">
        <f t="shared" si="15"/>
        <v>72788.75</v>
      </c>
      <c r="H67" s="31">
        <f t="shared" si="16"/>
        <v>3000</v>
      </c>
      <c r="I67" s="31">
        <f t="shared" si="17"/>
        <v>69788.75</v>
      </c>
      <c r="J67" s="31">
        <f t="shared" si="19"/>
        <v>803371.25</v>
      </c>
    </row>
    <row r="68" ht="15.75" customHeight="1">
      <c r="B68" s="26">
        <v>23.0</v>
      </c>
      <c r="C68" s="26">
        <f t="shared" si="12"/>
        <v>1</v>
      </c>
      <c r="D68" s="26">
        <f t="shared" si="18"/>
        <v>23</v>
      </c>
      <c r="E68" s="28">
        <f t="shared" si="13"/>
        <v>3076.25</v>
      </c>
      <c r="F68" s="28">
        <f t="shared" si="14"/>
        <v>72881.25</v>
      </c>
      <c r="G68" s="28">
        <f t="shared" si="15"/>
        <v>75957.5</v>
      </c>
      <c r="H68" s="28">
        <f t="shared" si="16"/>
        <v>3000</v>
      </c>
      <c r="I68" s="28">
        <f t="shared" si="17"/>
        <v>72957.5</v>
      </c>
      <c r="J68" s="28">
        <f t="shared" si="19"/>
        <v>876328.75</v>
      </c>
    </row>
    <row r="69" ht="15.75" customHeight="1">
      <c r="B69" s="30">
        <v>24.0</v>
      </c>
      <c r="C69" s="30">
        <f t="shared" si="12"/>
        <v>1</v>
      </c>
      <c r="D69" s="30">
        <f t="shared" si="18"/>
        <v>24</v>
      </c>
      <c r="E69" s="31">
        <f t="shared" si="13"/>
        <v>3076.25</v>
      </c>
      <c r="F69" s="31">
        <f t="shared" si="14"/>
        <v>76050</v>
      </c>
      <c r="G69" s="31">
        <f t="shared" si="15"/>
        <v>79126.25</v>
      </c>
      <c r="H69" s="31">
        <f t="shared" si="16"/>
        <v>3000</v>
      </c>
      <c r="I69" s="31">
        <f t="shared" si="17"/>
        <v>76126.25</v>
      </c>
      <c r="J69" s="31">
        <f t="shared" si="19"/>
        <v>952455</v>
      </c>
    </row>
    <row r="70" ht="15.75" customHeight="1"/>
    <row r="71" ht="15.75" customHeight="1"/>
    <row r="72" ht="19.5" customHeight="1">
      <c r="B72" s="6" t="s">
        <v>152</v>
      </c>
      <c r="C72" s="9"/>
      <c r="D72" s="9"/>
      <c r="E72" s="9"/>
      <c r="F72" s="9"/>
      <c r="G72" s="9"/>
      <c r="H72" s="9"/>
      <c r="I72" s="9"/>
      <c r="J72" s="9"/>
      <c r="K72" s="12"/>
    </row>
    <row r="73" ht="31.5" customHeight="1">
      <c r="A73" s="7"/>
      <c r="B73" s="7" t="s">
        <v>129</v>
      </c>
      <c r="C73" s="7" t="s">
        <v>130</v>
      </c>
      <c r="D73" s="7" t="s">
        <v>131</v>
      </c>
      <c r="E73" s="7" t="s">
        <v>132</v>
      </c>
      <c r="F73" s="7" t="s">
        <v>133</v>
      </c>
      <c r="G73" s="7" t="s">
        <v>134</v>
      </c>
      <c r="H73" s="7" t="s">
        <v>135</v>
      </c>
      <c r="I73" s="7" t="s">
        <v>136</v>
      </c>
      <c r="J73" s="7" t="s">
        <v>137</v>
      </c>
    </row>
    <row r="74" ht="15.75" customHeight="1">
      <c r="B74" s="26">
        <v>1.0</v>
      </c>
      <c r="C74" s="26">
        <f t="shared" ref="C74:C97" si="20">$C$33</f>
        <v>2</v>
      </c>
      <c r="D74" s="26">
        <f>C74</f>
        <v>2</v>
      </c>
      <c r="E74" s="28">
        <f t="shared" ref="E74:E97" si="21">C74*$K$21</f>
        <v>6152.5</v>
      </c>
      <c r="F74" s="28">
        <f t="shared" ref="F74:F97" si="22">D74*$I$21</f>
        <v>6337.5</v>
      </c>
      <c r="G74" s="28">
        <f t="shared" ref="G74:G97" si="23">E74+F74</f>
        <v>12490</v>
      </c>
      <c r="H74" s="28">
        <f t="shared" ref="H74:H97" si="24">$C$31</f>
        <v>3000</v>
      </c>
      <c r="I74" s="28">
        <f t="shared" ref="I74:I97" si="25">G74-H74</f>
        <v>9490</v>
      </c>
      <c r="J74" s="28">
        <f>I74</f>
        <v>9490</v>
      </c>
    </row>
    <row r="75" ht="15.75" customHeight="1">
      <c r="B75" s="30">
        <v>2.0</v>
      </c>
      <c r="C75" s="30">
        <f t="shared" si="20"/>
        <v>2</v>
      </c>
      <c r="D75" s="30">
        <f t="shared" ref="D75:D97" si="26">D74+C75</f>
        <v>4</v>
      </c>
      <c r="E75" s="31">
        <f t="shared" si="21"/>
        <v>6152.5</v>
      </c>
      <c r="F75" s="31">
        <f t="shared" si="22"/>
        <v>12675</v>
      </c>
      <c r="G75" s="31">
        <f t="shared" si="23"/>
        <v>18827.5</v>
      </c>
      <c r="H75" s="31">
        <f t="shared" si="24"/>
        <v>3000</v>
      </c>
      <c r="I75" s="31">
        <f t="shared" si="25"/>
        <v>15827.5</v>
      </c>
      <c r="J75" s="31">
        <f t="shared" ref="J75:J97" si="27">J74+I75</f>
        <v>25317.5</v>
      </c>
    </row>
    <row r="76" ht="15.75" customHeight="1">
      <c r="B76" s="26">
        <v>3.0</v>
      </c>
      <c r="C76" s="26">
        <f t="shared" si="20"/>
        <v>2</v>
      </c>
      <c r="D76" s="26">
        <f t="shared" si="26"/>
        <v>6</v>
      </c>
      <c r="E76" s="28">
        <f t="shared" si="21"/>
        <v>6152.5</v>
      </c>
      <c r="F76" s="28">
        <f t="shared" si="22"/>
        <v>19012.5</v>
      </c>
      <c r="G76" s="28">
        <f t="shared" si="23"/>
        <v>25165</v>
      </c>
      <c r="H76" s="28">
        <f t="shared" si="24"/>
        <v>3000</v>
      </c>
      <c r="I76" s="28">
        <f t="shared" si="25"/>
        <v>22165</v>
      </c>
      <c r="J76" s="28">
        <f t="shared" si="27"/>
        <v>47482.5</v>
      </c>
    </row>
    <row r="77" ht="15.75" customHeight="1">
      <c r="B77" s="30">
        <v>4.0</v>
      </c>
      <c r="C77" s="30">
        <f t="shared" si="20"/>
        <v>2</v>
      </c>
      <c r="D77" s="30">
        <f t="shared" si="26"/>
        <v>8</v>
      </c>
      <c r="E77" s="31">
        <f t="shared" si="21"/>
        <v>6152.5</v>
      </c>
      <c r="F77" s="31">
        <f t="shared" si="22"/>
        <v>25350</v>
      </c>
      <c r="G77" s="31">
        <f t="shared" si="23"/>
        <v>31502.5</v>
      </c>
      <c r="H77" s="31">
        <f t="shared" si="24"/>
        <v>3000</v>
      </c>
      <c r="I77" s="31">
        <f t="shared" si="25"/>
        <v>28502.5</v>
      </c>
      <c r="J77" s="31">
        <f t="shared" si="27"/>
        <v>75985</v>
      </c>
    </row>
    <row r="78" ht="15.75" customHeight="1">
      <c r="B78" s="26">
        <v>5.0</v>
      </c>
      <c r="C78" s="26">
        <f t="shared" si="20"/>
        <v>2</v>
      </c>
      <c r="D78" s="26">
        <f t="shared" si="26"/>
        <v>10</v>
      </c>
      <c r="E78" s="28">
        <f t="shared" si="21"/>
        <v>6152.5</v>
      </c>
      <c r="F78" s="28">
        <f t="shared" si="22"/>
        <v>31687.5</v>
      </c>
      <c r="G78" s="28">
        <f t="shared" si="23"/>
        <v>37840</v>
      </c>
      <c r="H78" s="28">
        <f t="shared" si="24"/>
        <v>3000</v>
      </c>
      <c r="I78" s="28">
        <f t="shared" si="25"/>
        <v>34840</v>
      </c>
      <c r="J78" s="28">
        <f t="shared" si="27"/>
        <v>110825</v>
      </c>
    </row>
    <row r="79" ht="15.75" customHeight="1">
      <c r="B79" s="30">
        <v>6.0</v>
      </c>
      <c r="C79" s="30">
        <f t="shared" si="20"/>
        <v>2</v>
      </c>
      <c r="D79" s="30">
        <f t="shared" si="26"/>
        <v>12</v>
      </c>
      <c r="E79" s="31">
        <f t="shared" si="21"/>
        <v>6152.5</v>
      </c>
      <c r="F79" s="31">
        <f t="shared" si="22"/>
        <v>38025</v>
      </c>
      <c r="G79" s="31">
        <f t="shared" si="23"/>
        <v>44177.5</v>
      </c>
      <c r="H79" s="31">
        <f t="shared" si="24"/>
        <v>3000</v>
      </c>
      <c r="I79" s="31">
        <f t="shared" si="25"/>
        <v>41177.5</v>
      </c>
      <c r="J79" s="31">
        <f t="shared" si="27"/>
        <v>152002.5</v>
      </c>
    </row>
    <row r="80" ht="15.75" customHeight="1">
      <c r="B80" s="26">
        <v>7.0</v>
      </c>
      <c r="C80" s="26">
        <f t="shared" si="20"/>
        <v>2</v>
      </c>
      <c r="D80" s="26">
        <f t="shared" si="26"/>
        <v>14</v>
      </c>
      <c r="E80" s="28">
        <f t="shared" si="21"/>
        <v>6152.5</v>
      </c>
      <c r="F80" s="28">
        <f t="shared" si="22"/>
        <v>44362.5</v>
      </c>
      <c r="G80" s="28">
        <f t="shared" si="23"/>
        <v>50515</v>
      </c>
      <c r="H80" s="28">
        <f t="shared" si="24"/>
        <v>3000</v>
      </c>
      <c r="I80" s="28">
        <f t="shared" si="25"/>
        <v>47515</v>
      </c>
      <c r="J80" s="28">
        <f t="shared" si="27"/>
        <v>199517.5</v>
      </c>
    </row>
    <row r="81" ht="15.75" customHeight="1">
      <c r="B81" s="30">
        <v>8.0</v>
      </c>
      <c r="C81" s="30">
        <f t="shared" si="20"/>
        <v>2</v>
      </c>
      <c r="D81" s="30">
        <f t="shared" si="26"/>
        <v>16</v>
      </c>
      <c r="E81" s="31">
        <f t="shared" si="21"/>
        <v>6152.5</v>
      </c>
      <c r="F81" s="31">
        <f t="shared" si="22"/>
        <v>50700</v>
      </c>
      <c r="G81" s="31">
        <f t="shared" si="23"/>
        <v>56852.5</v>
      </c>
      <c r="H81" s="31">
        <f t="shared" si="24"/>
        <v>3000</v>
      </c>
      <c r="I81" s="31">
        <f t="shared" si="25"/>
        <v>53852.5</v>
      </c>
      <c r="J81" s="31">
        <f t="shared" si="27"/>
        <v>253370</v>
      </c>
    </row>
    <row r="82" ht="15.75" customHeight="1">
      <c r="B82" s="26">
        <v>9.0</v>
      </c>
      <c r="C82" s="26">
        <f t="shared" si="20"/>
        <v>2</v>
      </c>
      <c r="D82" s="26">
        <f t="shared" si="26"/>
        <v>18</v>
      </c>
      <c r="E82" s="28">
        <f t="shared" si="21"/>
        <v>6152.5</v>
      </c>
      <c r="F82" s="28">
        <f t="shared" si="22"/>
        <v>57037.5</v>
      </c>
      <c r="G82" s="28">
        <f t="shared" si="23"/>
        <v>63190</v>
      </c>
      <c r="H82" s="28">
        <f t="shared" si="24"/>
        <v>3000</v>
      </c>
      <c r="I82" s="28">
        <f t="shared" si="25"/>
        <v>60190</v>
      </c>
      <c r="J82" s="28">
        <f t="shared" si="27"/>
        <v>313560</v>
      </c>
    </row>
    <row r="83" ht="15.75" customHeight="1">
      <c r="B83" s="30">
        <v>10.0</v>
      </c>
      <c r="C83" s="30">
        <f t="shared" si="20"/>
        <v>2</v>
      </c>
      <c r="D83" s="30">
        <f t="shared" si="26"/>
        <v>20</v>
      </c>
      <c r="E83" s="31">
        <f t="shared" si="21"/>
        <v>6152.5</v>
      </c>
      <c r="F83" s="31">
        <f t="shared" si="22"/>
        <v>63375</v>
      </c>
      <c r="G83" s="31">
        <f t="shared" si="23"/>
        <v>69527.5</v>
      </c>
      <c r="H83" s="31">
        <f t="shared" si="24"/>
        <v>3000</v>
      </c>
      <c r="I83" s="31">
        <f t="shared" si="25"/>
        <v>66527.5</v>
      </c>
      <c r="J83" s="31">
        <f t="shared" si="27"/>
        <v>380087.5</v>
      </c>
    </row>
    <row r="84" ht="15.75" customHeight="1">
      <c r="B84" s="26">
        <v>11.0</v>
      </c>
      <c r="C84" s="26">
        <f t="shared" si="20"/>
        <v>2</v>
      </c>
      <c r="D84" s="26">
        <f t="shared" si="26"/>
        <v>22</v>
      </c>
      <c r="E84" s="28">
        <f t="shared" si="21"/>
        <v>6152.5</v>
      </c>
      <c r="F84" s="28">
        <f t="shared" si="22"/>
        <v>69712.5</v>
      </c>
      <c r="G84" s="28">
        <f t="shared" si="23"/>
        <v>75865</v>
      </c>
      <c r="H84" s="28">
        <f t="shared" si="24"/>
        <v>3000</v>
      </c>
      <c r="I84" s="28">
        <f t="shared" si="25"/>
        <v>72865</v>
      </c>
      <c r="J84" s="28">
        <f t="shared" si="27"/>
        <v>452952.5</v>
      </c>
    </row>
    <row r="85" ht="15.75" customHeight="1">
      <c r="B85" s="30">
        <v>12.0</v>
      </c>
      <c r="C85" s="30">
        <f t="shared" si="20"/>
        <v>2</v>
      </c>
      <c r="D85" s="30">
        <f t="shared" si="26"/>
        <v>24</v>
      </c>
      <c r="E85" s="31">
        <f t="shared" si="21"/>
        <v>6152.5</v>
      </c>
      <c r="F85" s="31">
        <f t="shared" si="22"/>
        <v>76050</v>
      </c>
      <c r="G85" s="31">
        <f t="shared" si="23"/>
        <v>82202.5</v>
      </c>
      <c r="H85" s="31">
        <f t="shared" si="24"/>
        <v>3000</v>
      </c>
      <c r="I85" s="31">
        <f t="shared" si="25"/>
        <v>79202.5</v>
      </c>
      <c r="J85" s="31">
        <f t="shared" si="27"/>
        <v>532155</v>
      </c>
    </row>
    <row r="86" ht="15.75" customHeight="1">
      <c r="B86" s="26">
        <v>13.0</v>
      </c>
      <c r="C86" s="26">
        <f t="shared" si="20"/>
        <v>2</v>
      </c>
      <c r="D86" s="26">
        <f t="shared" si="26"/>
        <v>26</v>
      </c>
      <c r="E86" s="28">
        <f t="shared" si="21"/>
        <v>6152.5</v>
      </c>
      <c r="F86" s="28">
        <f t="shared" si="22"/>
        <v>82387.5</v>
      </c>
      <c r="G86" s="28">
        <f t="shared" si="23"/>
        <v>88540</v>
      </c>
      <c r="H86" s="28">
        <f t="shared" si="24"/>
        <v>3000</v>
      </c>
      <c r="I86" s="28">
        <f t="shared" si="25"/>
        <v>85540</v>
      </c>
      <c r="J86" s="28">
        <f t="shared" si="27"/>
        <v>617695</v>
      </c>
    </row>
    <row r="87" ht="15.75" customHeight="1">
      <c r="B87" s="30">
        <v>14.0</v>
      </c>
      <c r="C87" s="30">
        <f t="shared" si="20"/>
        <v>2</v>
      </c>
      <c r="D87" s="30">
        <f t="shared" si="26"/>
        <v>28</v>
      </c>
      <c r="E87" s="31">
        <f t="shared" si="21"/>
        <v>6152.5</v>
      </c>
      <c r="F87" s="31">
        <f t="shared" si="22"/>
        <v>88725</v>
      </c>
      <c r="G87" s="31">
        <f t="shared" si="23"/>
        <v>94877.5</v>
      </c>
      <c r="H87" s="31">
        <f t="shared" si="24"/>
        <v>3000</v>
      </c>
      <c r="I87" s="31">
        <f t="shared" si="25"/>
        <v>91877.5</v>
      </c>
      <c r="J87" s="31">
        <f t="shared" si="27"/>
        <v>709572.5</v>
      </c>
    </row>
    <row r="88" ht="15.75" customHeight="1">
      <c r="B88" s="26">
        <v>15.0</v>
      </c>
      <c r="C88" s="26">
        <f t="shared" si="20"/>
        <v>2</v>
      </c>
      <c r="D88" s="26">
        <f t="shared" si="26"/>
        <v>30</v>
      </c>
      <c r="E88" s="28">
        <f t="shared" si="21"/>
        <v>6152.5</v>
      </c>
      <c r="F88" s="28">
        <f t="shared" si="22"/>
        <v>95062.5</v>
      </c>
      <c r="G88" s="28">
        <f t="shared" si="23"/>
        <v>101215</v>
      </c>
      <c r="H88" s="28">
        <f t="shared" si="24"/>
        <v>3000</v>
      </c>
      <c r="I88" s="28">
        <f t="shared" si="25"/>
        <v>98215</v>
      </c>
      <c r="J88" s="28">
        <f t="shared" si="27"/>
        <v>807787.5</v>
      </c>
    </row>
    <row r="89" ht="15.75" customHeight="1">
      <c r="B89" s="30">
        <v>16.0</v>
      </c>
      <c r="C89" s="30">
        <f t="shared" si="20"/>
        <v>2</v>
      </c>
      <c r="D89" s="30">
        <f t="shared" si="26"/>
        <v>32</v>
      </c>
      <c r="E89" s="31">
        <f t="shared" si="21"/>
        <v>6152.5</v>
      </c>
      <c r="F89" s="31">
        <f t="shared" si="22"/>
        <v>101400</v>
      </c>
      <c r="G89" s="31">
        <f t="shared" si="23"/>
        <v>107552.5</v>
      </c>
      <c r="H89" s="31">
        <f t="shared" si="24"/>
        <v>3000</v>
      </c>
      <c r="I89" s="31">
        <f t="shared" si="25"/>
        <v>104552.5</v>
      </c>
      <c r="J89" s="31">
        <f t="shared" si="27"/>
        <v>912340</v>
      </c>
    </row>
    <row r="90" ht="15.75" customHeight="1">
      <c r="B90" s="26">
        <v>17.0</v>
      </c>
      <c r="C90" s="26">
        <f t="shared" si="20"/>
        <v>2</v>
      </c>
      <c r="D90" s="26">
        <f t="shared" si="26"/>
        <v>34</v>
      </c>
      <c r="E90" s="28">
        <f t="shared" si="21"/>
        <v>6152.5</v>
      </c>
      <c r="F90" s="28">
        <f t="shared" si="22"/>
        <v>107737.5</v>
      </c>
      <c r="G90" s="28">
        <f t="shared" si="23"/>
        <v>113890</v>
      </c>
      <c r="H90" s="28">
        <f t="shared" si="24"/>
        <v>3000</v>
      </c>
      <c r="I90" s="28">
        <f t="shared" si="25"/>
        <v>110890</v>
      </c>
      <c r="J90" s="28">
        <f t="shared" si="27"/>
        <v>1023230</v>
      </c>
    </row>
    <row r="91" ht="15.75" customHeight="1">
      <c r="B91" s="30">
        <v>18.0</v>
      </c>
      <c r="C91" s="30">
        <f t="shared" si="20"/>
        <v>2</v>
      </c>
      <c r="D91" s="30">
        <f t="shared" si="26"/>
        <v>36</v>
      </c>
      <c r="E91" s="31">
        <f t="shared" si="21"/>
        <v>6152.5</v>
      </c>
      <c r="F91" s="31">
        <f t="shared" si="22"/>
        <v>114075</v>
      </c>
      <c r="G91" s="31">
        <f t="shared" si="23"/>
        <v>120227.5</v>
      </c>
      <c r="H91" s="31">
        <f t="shared" si="24"/>
        <v>3000</v>
      </c>
      <c r="I91" s="31">
        <f t="shared" si="25"/>
        <v>117227.5</v>
      </c>
      <c r="J91" s="31">
        <f t="shared" si="27"/>
        <v>1140457.5</v>
      </c>
    </row>
    <row r="92" ht="15.75" customHeight="1">
      <c r="B92" s="26">
        <v>19.0</v>
      </c>
      <c r="C92" s="26">
        <f t="shared" si="20"/>
        <v>2</v>
      </c>
      <c r="D92" s="26">
        <f t="shared" si="26"/>
        <v>38</v>
      </c>
      <c r="E92" s="28">
        <f t="shared" si="21"/>
        <v>6152.5</v>
      </c>
      <c r="F92" s="28">
        <f t="shared" si="22"/>
        <v>120412.5</v>
      </c>
      <c r="G92" s="28">
        <f t="shared" si="23"/>
        <v>126565</v>
      </c>
      <c r="H92" s="28">
        <f t="shared" si="24"/>
        <v>3000</v>
      </c>
      <c r="I92" s="28">
        <f t="shared" si="25"/>
        <v>123565</v>
      </c>
      <c r="J92" s="28">
        <f t="shared" si="27"/>
        <v>1264022.5</v>
      </c>
    </row>
    <row r="93" ht="15.75" customHeight="1">
      <c r="B93" s="30">
        <v>20.0</v>
      </c>
      <c r="C93" s="30">
        <f t="shared" si="20"/>
        <v>2</v>
      </c>
      <c r="D93" s="30">
        <f t="shared" si="26"/>
        <v>40</v>
      </c>
      <c r="E93" s="31">
        <f t="shared" si="21"/>
        <v>6152.5</v>
      </c>
      <c r="F93" s="31">
        <f t="shared" si="22"/>
        <v>126750</v>
      </c>
      <c r="G93" s="31">
        <f t="shared" si="23"/>
        <v>132902.5</v>
      </c>
      <c r="H93" s="31">
        <f t="shared" si="24"/>
        <v>3000</v>
      </c>
      <c r="I93" s="31">
        <f t="shared" si="25"/>
        <v>129902.5</v>
      </c>
      <c r="J93" s="31">
        <f t="shared" si="27"/>
        <v>1393925</v>
      </c>
    </row>
    <row r="94" ht="15.75" customHeight="1">
      <c r="B94" s="26">
        <v>21.0</v>
      </c>
      <c r="C94" s="26">
        <f t="shared" si="20"/>
        <v>2</v>
      </c>
      <c r="D94" s="26">
        <f t="shared" si="26"/>
        <v>42</v>
      </c>
      <c r="E94" s="28">
        <f t="shared" si="21"/>
        <v>6152.5</v>
      </c>
      <c r="F94" s="28">
        <f t="shared" si="22"/>
        <v>133087.5</v>
      </c>
      <c r="G94" s="28">
        <f t="shared" si="23"/>
        <v>139240</v>
      </c>
      <c r="H94" s="28">
        <f t="shared" si="24"/>
        <v>3000</v>
      </c>
      <c r="I94" s="28">
        <f t="shared" si="25"/>
        <v>136240</v>
      </c>
      <c r="J94" s="28">
        <f t="shared" si="27"/>
        <v>1530165</v>
      </c>
    </row>
    <row r="95" ht="15.75" customHeight="1">
      <c r="B95" s="30">
        <v>22.0</v>
      </c>
      <c r="C95" s="30">
        <f t="shared" si="20"/>
        <v>2</v>
      </c>
      <c r="D95" s="30">
        <f t="shared" si="26"/>
        <v>44</v>
      </c>
      <c r="E95" s="31">
        <f t="shared" si="21"/>
        <v>6152.5</v>
      </c>
      <c r="F95" s="31">
        <f t="shared" si="22"/>
        <v>139425</v>
      </c>
      <c r="G95" s="31">
        <f t="shared" si="23"/>
        <v>145577.5</v>
      </c>
      <c r="H95" s="31">
        <f t="shared" si="24"/>
        <v>3000</v>
      </c>
      <c r="I95" s="31">
        <f t="shared" si="25"/>
        <v>142577.5</v>
      </c>
      <c r="J95" s="31">
        <f t="shared" si="27"/>
        <v>1672742.5</v>
      </c>
    </row>
    <row r="96" ht="15.75" customHeight="1">
      <c r="B96" s="26">
        <v>23.0</v>
      </c>
      <c r="C96" s="26">
        <f t="shared" si="20"/>
        <v>2</v>
      </c>
      <c r="D96" s="26">
        <f t="shared" si="26"/>
        <v>46</v>
      </c>
      <c r="E96" s="28">
        <f t="shared" si="21"/>
        <v>6152.5</v>
      </c>
      <c r="F96" s="28">
        <f t="shared" si="22"/>
        <v>145762.5</v>
      </c>
      <c r="G96" s="28">
        <f t="shared" si="23"/>
        <v>151915</v>
      </c>
      <c r="H96" s="28">
        <f t="shared" si="24"/>
        <v>3000</v>
      </c>
      <c r="I96" s="28">
        <f t="shared" si="25"/>
        <v>148915</v>
      </c>
      <c r="J96" s="28">
        <f t="shared" si="27"/>
        <v>1821657.5</v>
      </c>
    </row>
    <row r="97" ht="15.75" customHeight="1">
      <c r="B97" s="30">
        <v>24.0</v>
      </c>
      <c r="C97" s="30">
        <f t="shared" si="20"/>
        <v>2</v>
      </c>
      <c r="D97" s="30">
        <f t="shared" si="26"/>
        <v>48</v>
      </c>
      <c r="E97" s="31">
        <f t="shared" si="21"/>
        <v>6152.5</v>
      </c>
      <c r="F97" s="31">
        <f t="shared" si="22"/>
        <v>152100</v>
      </c>
      <c r="G97" s="31">
        <f t="shared" si="23"/>
        <v>158252.5</v>
      </c>
      <c r="H97" s="31">
        <f t="shared" si="24"/>
        <v>3000</v>
      </c>
      <c r="I97" s="31">
        <f t="shared" si="25"/>
        <v>155252.5</v>
      </c>
      <c r="J97" s="31">
        <f t="shared" si="27"/>
        <v>1976910</v>
      </c>
    </row>
    <row r="98" ht="15.75" customHeight="1"/>
    <row r="99" ht="15.75" customHeight="1"/>
    <row r="100" ht="19.5" customHeight="1">
      <c r="B100" s="6" t="s">
        <v>157</v>
      </c>
      <c r="C100" s="9"/>
      <c r="D100" s="9"/>
      <c r="E100" s="9"/>
      <c r="F100" s="9"/>
      <c r="G100" s="9"/>
      <c r="H100" s="9"/>
      <c r="I100" s="9"/>
      <c r="J100" s="9"/>
      <c r="K100" s="12"/>
    </row>
    <row r="101" ht="31.5" customHeight="1">
      <c r="A101" s="7"/>
      <c r="B101" s="7" t="s">
        <v>129</v>
      </c>
      <c r="C101" s="7" t="s">
        <v>130</v>
      </c>
      <c r="D101" s="7" t="s">
        <v>131</v>
      </c>
      <c r="E101" s="7" t="s">
        <v>132</v>
      </c>
      <c r="F101" s="7" t="s">
        <v>133</v>
      </c>
      <c r="G101" s="7" t="s">
        <v>134</v>
      </c>
      <c r="H101" s="7" t="s">
        <v>135</v>
      </c>
      <c r="I101" s="7" t="s">
        <v>136</v>
      </c>
      <c r="J101" s="7" t="s">
        <v>137</v>
      </c>
    </row>
    <row r="102" ht="15.75" customHeight="1">
      <c r="B102" s="26">
        <v>1.0</v>
      </c>
      <c r="C102" s="26">
        <f t="shared" ref="C102:C125" si="28">$C$34</f>
        <v>3</v>
      </c>
      <c r="D102" s="26">
        <f>C102</f>
        <v>3</v>
      </c>
      <c r="E102" s="28">
        <f t="shared" ref="E102:E125" si="29">C102*$K$21</f>
        <v>9228.75</v>
      </c>
      <c r="F102" s="28">
        <f t="shared" ref="F102:F125" si="30">D102*$I$21</f>
        <v>9506.25</v>
      </c>
      <c r="G102" s="28">
        <f t="shared" ref="G102:G125" si="31">E102+F102</f>
        <v>18735</v>
      </c>
      <c r="H102" s="28">
        <f t="shared" ref="H102:H125" si="32">$C$31</f>
        <v>3000</v>
      </c>
      <c r="I102" s="28">
        <f t="shared" ref="I102:I125" si="33">G102-H102</f>
        <v>15735</v>
      </c>
      <c r="J102" s="28">
        <f>I102</f>
        <v>15735</v>
      </c>
    </row>
    <row r="103" ht="15.75" customHeight="1">
      <c r="B103" s="30">
        <v>2.0</v>
      </c>
      <c r="C103" s="30">
        <f t="shared" si="28"/>
        <v>3</v>
      </c>
      <c r="D103" s="30">
        <f t="shared" ref="D103:D125" si="34">D102+C103</f>
        <v>6</v>
      </c>
      <c r="E103" s="31">
        <f t="shared" si="29"/>
        <v>9228.75</v>
      </c>
      <c r="F103" s="31">
        <f t="shared" si="30"/>
        <v>19012.5</v>
      </c>
      <c r="G103" s="31">
        <f t="shared" si="31"/>
        <v>28241.25</v>
      </c>
      <c r="H103" s="31">
        <f t="shared" si="32"/>
        <v>3000</v>
      </c>
      <c r="I103" s="31">
        <f t="shared" si="33"/>
        <v>25241.25</v>
      </c>
      <c r="J103" s="31">
        <f t="shared" ref="J103:J125" si="35">J102+I103</f>
        <v>40976.25</v>
      </c>
    </row>
    <row r="104" ht="15.75" customHeight="1">
      <c r="B104" s="26">
        <v>3.0</v>
      </c>
      <c r="C104" s="26">
        <f t="shared" si="28"/>
        <v>3</v>
      </c>
      <c r="D104" s="26">
        <f t="shared" si="34"/>
        <v>9</v>
      </c>
      <c r="E104" s="28">
        <f t="shared" si="29"/>
        <v>9228.75</v>
      </c>
      <c r="F104" s="28">
        <f t="shared" si="30"/>
        <v>28518.75</v>
      </c>
      <c r="G104" s="28">
        <f t="shared" si="31"/>
        <v>37747.5</v>
      </c>
      <c r="H104" s="28">
        <f t="shared" si="32"/>
        <v>3000</v>
      </c>
      <c r="I104" s="28">
        <f t="shared" si="33"/>
        <v>34747.5</v>
      </c>
      <c r="J104" s="28">
        <f t="shared" si="35"/>
        <v>75723.75</v>
      </c>
    </row>
    <row r="105" ht="15.75" customHeight="1">
      <c r="B105" s="30">
        <v>4.0</v>
      </c>
      <c r="C105" s="30">
        <f t="shared" si="28"/>
        <v>3</v>
      </c>
      <c r="D105" s="30">
        <f t="shared" si="34"/>
        <v>12</v>
      </c>
      <c r="E105" s="31">
        <f t="shared" si="29"/>
        <v>9228.75</v>
      </c>
      <c r="F105" s="31">
        <f t="shared" si="30"/>
        <v>38025</v>
      </c>
      <c r="G105" s="31">
        <f t="shared" si="31"/>
        <v>47253.75</v>
      </c>
      <c r="H105" s="31">
        <f t="shared" si="32"/>
        <v>3000</v>
      </c>
      <c r="I105" s="31">
        <f t="shared" si="33"/>
        <v>44253.75</v>
      </c>
      <c r="J105" s="31">
        <f t="shared" si="35"/>
        <v>119977.5</v>
      </c>
    </row>
    <row r="106" ht="15.75" customHeight="1">
      <c r="B106" s="26">
        <v>5.0</v>
      </c>
      <c r="C106" s="26">
        <f t="shared" si="28"/>
        <v>3</v>
      </c>
      <c r="D106" s="26">
        <f t="shared" si="34"/>
        <v>15</v>
      </c>
      <c r="E106" s="28">
        <f t="shared" si="29"/>
        <v>9228.75</v>
      </c>
      <c r="F106" s="28">
        <f t="shared" si="30"/>
        <v>47531.25</v>
      </c>
      <c r="G106" s="28">
        <f t="shared" si="31"/>
        <v>56760</v>
      </c>
      <c r="H106" s="28">
        <f t="shared" si="32"/>
        <v>3000</v>
      </c>
      <c r="I106" s="28">
        <f t="shared" si="33"/>
        <v>53760</v>
      </c>
      <c r="J106" s="28">
        <f t="shared" si="35"/>
        <v>173737.5</v>
      </c>
    </row>
    <row r="107" ht="15.75" customHeight="1">
      <c r="B107" s="30">
        <v>6.0</v>
      </c>
      <c r="C107" s="30">
        <f t="shared" si="28"/>
        <v>3</v>
      </c>
      <c r="D107" s="30">
        <f t="shared" si="34"/>
        <v>18</v>
      </c>
      <c r="E107" s="31">
        <f t="shared" si="29"/>
        <v>9228.75</v>
      </c>
      <c r="F107" s="31">
        <f t="shared" si="30"/>
        <v>57037.5</v>
      </c>
      <c r="G107" s="31">
        <f t="shared" si="31"/>
        <v>66266.25</v>
      </c>
      <c r="H107" s="31">
        <f t="shared" si="32"/>
        <v>3000</v>
      </c>
      <c r="I107" s="31">
        <f t="shared" si="33"/>
        <v>63266.25</v>
      </c>
      <c r="J107" s="31">
        <f t="shared" si="35"/>
        <v>237003.75</v>
      </c>
    </row>
    <row r="108" ht="15.75" customHeight="1">
      <c r="B108" s="26">
        <v>7.0</v>
      </c>
      <c r="C108" s="26">
        <f t="shared" si="28"/>
        <v>3</v>
      </c>
      <c r="D108" s="26">
        <f t="shared" si="34"/>
        <v>21</v>
      </c>
      <c r="E108" s="28">
        <f t="shared" si="29"/>
        <v>9228.75</v>
      </c>
      <c r="F108" s="28">
        <f t="shared" si="30"/>
        <v>66543.75</v>
      </c>
      <c r="G108" s="28">
        <f t="shared" si="31"/>
        <v>75772.5</v>
      </c>
      <c r="H108" s="28">
        <f t="shared" si="32"/>
        <v>3000</v>
      </c>
      <c r="I108" s="28">
        <f t="shared" si="33"/>
        <v>72772.5</v>
      </c>
      <c r="J108" s="28">
        <f t="shared" si="35"/>
        <v>309776.25</v>
      </c>
    </row>
    <row r="109" ht="15.75" customHeight="1">
      <c r="B109" s="30">
        <v>8.0</v>
      </c>
      <c r="C109" s="30">
        <f t="shared" si="28"/>
        <v>3</v>
      </c>
      <c r="D109" s="30">
        <f t="shared" si="34"/>
        <v>24</v>
      </c>
      <c r="E109" s="31">
        <f t="shared" si="29"/>
        <v>9228.75</v>
      </c>
      <c r="F109" s="31">
        <f t="shared" si="30"/>
        <v>76050</v>
      </c>
      <c r="G109" s="31">
        <f t="shared" si="31"/>
        <v>85278.75</v>
      </c>
      <c r="H109" s="31">
        <f t="shared" si="32"/>
        <v>3000</v>
      </c>
      <c r="I109" s="31">
        <f t="shared" si="33"/>
        <v>82278.75</v>
      </c>
      <c r="J109" s="31">
        <f t="shared" si="35"/>
        <v>392055</v>
      </c>
    </row>
    <row r="110" ht="15.75" customHeight="1">
      <c r="B110" s="26">
        <v>9.0</v>
      </c>
      <c r="C110" s="26">
        <f t="shared" si="28"/>
        <v>3</v>
      </c>
      <c r="D110" s="26">
        <f t="shared" si="34"/>
        <v>27</v>
      </c>
      <c r="E110" s="28">
        <f t="shared" si="29"/>
        <v>9228.75</v>
      </c>
      <c r="F110" s="28">
        <f t="shared" si="30"/>
        <v>85556.25</v>
      </c>
      <c r="G110" s="28">
        <f t="shared" si="31"/>
        <v>94785</v>
      </c>
      <c r="H110" s="28">
        <f t="shared" si="32"/>
        <v>3000</v>
      </c>
      <c r="I110" s="28">
        <f t="shared" si="33"/>
        <v>91785</v>
      </c>
      <c r="J110" s="28">
        <f t="shared" si="35"/>
        <v>483840</v>
      </c>
    </row>
    <row r="111" ht="15.75" customHeight="1">
      <c r="B111" s="30">
        <v>10.0</v>
      </c>
      <c r="C111" s="30">
        <f t="shared" si="28"/>
        <v>3</v>
      </c>
      <c r="D111" s="30">
        <f t="shared" si="34"/>
        <v>30</v>
      </c>
      <c r="E111" s="31">
        <f t="shared" si="29"/>
        <v>9228.75</v>
      </c>
      <c r="F111" s="31">
        <f t="shared" si="30"/>
        <v>95062.5</v>
      </c>
      <c r="G111" s="31">
        <f t="shared" si="31"/>
        <v>104291.25</v>
      </c>
      <c r="H111" s="31">
        <f t="shared" si="32"/>
        <v>3000</v>
      </c>
      <c r="I111" s="31">
        <f t="shared" si="33"/>
        <v>101291.25</v>
      </c>
      <c r="J111" s="31">
        <f t="shared" si="35"/>
        <v>585131.25</v>
      </c>
    </row>
    <row r="112" ht="15.75" customHeight="1">
      <c r="B112" s="26">
        <v>11.0</v>
      </c>
      <c r="C112" s="26">
        <f t="shared" si="28"/>
        <v>3</v>
      </c>
      <c r="D112" s="26">
        <f t="shared" si="34"/>
        <v>33</v>
      </c>
      <c r="E112" s="28">
        <f t="shared" si="29"/>
        <v>9228.75</v>
      </c>
      <c r="F112" s="28">
        <f t="shared" si="30"/>
        <v>104568.75</v>
      </c>
      <c r="G112" s="28">
        <f t="shared" si="31"/>
        <v>113797.5</v>
      </c>
      <c r="H112" s="28">
        <f t="shared" si="32"/>
        <v>3000</v>
      </c>
      <c r="I112" s="28">
        <f t="shared" si="33"/>
        <v>110797.5</v>
      </c>
      <c r="J112" s="28">
        <f t="shared" si="35"/>
        <v>695928.75</v>
      </c>
    </row>
    <row r="113" ht="15.75" customHeight="1">
      <c r="B113" s="30">
        <v>12.0</v>
      </c>
      <c r="C113" s="30">
        <f t="shared" si="28"/>
        <v>3</v>
      </c>
      <c r="D113" s="30">
        <f t="shared" si="34"/>
        <v>36</v>
      </c>
      <c r="E113" s="31">
        <f t="shared" si="29"/>
        <v>9228.75</v>
      </c>
      <c r="F113" s="31">
        <f t="shared" si="30"/>
        <v>114075</v>
      </c>
      <c r="G113" s="31">
        <f t="shared" si="31"/>
        <v>123303.75</v>
      </c>
      <c r="H113" s="31">
        <f t="shared" si="32"/>
        <v>3000</v>
      </c>
      <c r="I113" s="31">
        <f t="shared" si="33"/>
        <v>120303.75</v>
      </c>
      <c r="J113" s="31">
        <f t="shared" si="35"/>
        <v>816232.5</v>
      </c>
    </row>
    <row r="114" ht="15.75" customHeight="1">
      <c r="B114" s="26">
        <v>13.0</v>
      </c>
      <c r="C114" s="26">
        <f t="shared" si="28"/>
        <v>3</v>
      </c>
      <c r="D114" s="26">
        <f t="shared" si="34"/>
        <v>39</v>
      </c>
      <c r="E114" s="28">
        <f t="shared" si="29"/>
        <v>9228.75</v>
      </c>
      <c r="F114" s="28">
        <f t="shared" si="30"/>
        <v>123581.25</v>
      </c>
      <c r="G114" s="28">
        <f t="shared" si="31"/>
        <v>132810</v>
      </c>
      <c r="H114" s="28">
        <f t="shared" si="32"/>
        <v>3000</v>
      </c>
      <c r="I114" s="28">
        <f t="shared" si="33"/>
        <v>129810</v>
      </c>
      <c r="J114" s="28">
        <f t="shared" si="35"/>
        <v>946042.5</v>
      </c>
    </row>
    <row r="115" ht="15.75" customHeight="1">
      <c r="B115" s="30">
        <v>14.0</v>
      </c>
      <c r="C115" s="30">
        <f t="shared" si="28"/>
        <v>3</v>
      </c>
      <c r="D115" s="30">
        <f t="shared" si="34"/>
        <v>42</v>
      </c>
      <c r="E115" s="31">
        <f t="shared" si="29"/>
        <v>9228.75</v>
      </c>
      <c r="F115" s="31">
        <f t="shared" si="30"/>
        <v>133087.5</v>
      </c>
      <c r="G115" s="31">
        <f t="shared" si="31"/>
        <v>142316.25</v>
      </c>
      <c r="H115" s="31">
        <f t="shared" si="32"/>
        <v>3000</v>
      </c>
      <c r="I115" s="31">
        <f t="shared" si="33"/>
        <v>139316.25</v>
      </c>
      <c r="J115" s="31">
        <f t="shared" si="35"/>
        <v>1085358.75</v>
      </c>
    </row>
    <row r="116" ht="15.75" customHeight="1">
      <c r="B116" s="26">
        <v>15.0</v>
      </c>
      <c r="C116" s="26">
        <f t="shared" si="28"/>
        <v>3</v>
      </c>
      <c r="D116" s="26">
        <f t="shared" si="34"/>
        <v>45</v>
      </c>
      <c r="E116" s="28">
        <f t="shared" si="29"/>
        <v>9228.75</v>
      </c>
      <c r="F116" s="28">
        <f t="shared" si="30"/>
        <v>142593.75</v>
      </c>
      <c r="G116" s="28">
        <f t="shared" si="31"/>
        <v>151822.5</v>
      </c>
      <c r="H116" s="28">
        <f t="shared" si="32"/>
        <v>3000</v>
      </c>
      <c r="I116" s="28">
        <f t="shared" si="33"/>
        <v>148822.5</v>
      </c>
      <c r="J116" s="28">
        <f t="shared" si="35"/>
        <v>1234181.25</v>
      </c>
    </row>
    <row r="117" ht="15.75" customHeight="1">
      <c r="B117" s="30">
        <v>16.0</v>
      </c>
      <c r="C117" s="30">
        <f t="shared" si="28"/>
        <v>3</v>
      </c>
      <c r="D117" s="30">
        <f t="shared" si="34"/>
        <v>48</v>
      </c>
      <c r="E117" s="31">
        <f t="shared" si="29"/>
        <v>9228.75</v>
      </c>
      <c r="F117" s="31">
        <f t="shared" si="30"/>
        <v>152100</v>
      </c>
      <c r="G117" s="31">
        <f t="shared" si="31"/>
        <v>161328.75</v>
      </c>
      <c r="H117" s="31">
        <f t="shared" si="32"/>
        <v>3000</v>
      </c>
      <c r="I117" s="31">
        <f t="shared" si="33"/>
        <v>158328.75</v>
      </c>
      <c r="J117" s="31">
        <f t="shared" si="35"/>
        <v>1392510</v>
      </c>
    </row>
    <row r="118" ht="15.75" customHeight="1">
      <c r="B118" s="26">
        <v>17.0</v>
      </c>
      <c r="C118" s="26">
        <f t="shared" si="28"/>
        <v>3</v>
      </c>
      <c r="D118" s="26">
        <f t="shared" si="34"/>
        <v>51</v>
      </c>
      <c r="E118" s="28">
        <f t="shared" si="29"/>
        <v>9228.75</v>
      </c>
      <c r="F118" s="28">
        <f t="shared" si="30"/>
        <v>161606.25</v>
      </c>
      <c r="G118" s="28">
        <f t="shared" si="31"/>
        <v>170835</v>
      </c>
      <c r="H118" s="28">
        <f t="shared" si="32"/>
        <v>3000</v>
      </c>
      <c r="I118" s="28">
        <f t="shared" si="33"/>
        <v>167835</v>
      </c>
      <c r="J118" s="28">
        <f t="shared" si="35"/>
        <v>1560345</v>
      </c>
    </row>
    <row r="119" ht="15.75" customHeight="1">
      <c r="B119" s="30">
        <v>18.0</v>
      </c>
      <c r="C119" s="30">
        <f t="shared" si="28"/>
        <v>3</v>
      </c>
      <c r="D119" s="30">
        <f t="shared" si="34"/>
        <v>54</v>
      </c>
      <c r="E119" s="31">
        <f t="shared" si="29"/>
        <v>9228.75</v>
      </c>
      <c r="F119" s="31">
        <f t="shared" si="30"/>
        <v>171112.5</v>
      </c>
      <c r="G119" s="31">
        <f t="shared" si="31"/>
        <v>180341.25</v>
      </c>
      <c r="H119" s="31">
        <f t="shared" si="32"/>
        <v>3000</v>
      </c>
      <c r="I119" s="31">
        <f t="shared" si="33"/>
        <v>177341.25</v>
      </c>
      <c r="J119" s="31">
        <f t="shared" si="35"/>
        <v>1737686.25</v>
      </c>
    </row>
    <row r="120" ht="15.75" customHeight="1">
      <c r="B120" s="26">
        <v>19.0</v>
      </c>
      <c r="C120" s="26">
        <f t="shared" si="28"/>
        <v>3</v>
      </c>
      <c r="D120" s="26">
        <f t="shared" si="34"/>
        <v>57</v>
      </c>
      <c r="E120" s="28">
        <f t="shared" si="29"/>
        <v>9228.75</v>
      </c>
      <c r="F120" s="28">
        <f t="shared" si="30"/>
        <v>180618.75</v>
      </c>
      <c r="G120" s="28">
        <f t="shared" si="31"/>
        <v>189847.5</v>
      </c>
      <c r="H120" s="28">
        <f t="shared" si="32"/>
        <v>3000</v>
      </c>
      <c r="I120" s="28">
        <f t="shared" si="33"/>
        <v>186847.5</v>
      </c>
      <c r="J120" s="28">
        <f t="shared" si="35"/>
        <v>1924533.75</v>
      </c>
    </row>
    <row r="121" ht="15.75" customHeight="1">
      <c r="B121" s="30">
        <v>20.0</v>
      </c>
      <c r="C121" s="30">
        <f t="shared" si="28"/>
        <v>3</v>
      </c>
      <c r="D121" s="30">
        <f t="shared" si="34"/>
        <v>60</v>
      </c>
      <c r="E121" s="31">
        <f t="shared" si="29"/>
        <v>9228.75</v>
      </c>
      <c r="F121" s="31">
        <f t="shared" si="30"/>
        <v>190125</v>
      </c>
      <c r="G121" s="31">
        <f t="shared" si="31"/>
        <v>199353.75</v>
      </c>
      <c r="H121" s="31">
        <f t="shared" si="32"/>
        <v>3000</v>
      </c>
      <c r="I121" s="31">
        <f t="shared" si="33"/>
        <v>196353.75</v>
      </c>
      <c r="J121" s="31">
        <f t="shared" si="35"/>
        <v>2120887.5</v>
      </c>
    </row>
    <row r="122" ht="15.75" customHeight="1">
      <c r="B122" s="26">
        <v>21.0</v>
      </c>
      <c r="C122" s="26">
        <f t="shared" si="28"/>
        <v>3</v>
      </c>
      <c r="D122" s="26">
        <f t="shared" si="34"/>
        <v>63</v>
      </c>
      <c r="E122" s="28">
        <f t="shared" si="29"/>
        <v>9228.75</v>
      </c>
      <c r="F122" s="28">
        <f t="shared" si="30"/>
        <v>199631.25</v>
      </c>
      <c r="G122" s="28">
        <f t="shared" si="31"/>
        <v>208860</v>
      </c>
      <c r="H122" s="28">
        <f t="shared" si="32"/>
        <v>3000</v>
      </c>
      <c r="I122" s="28">
        <f t="shared" si="33"/>
        <v>205860</v>
      </c>
      <c r="J122" s="28">
        <f t="shared" si="35"/>
        <v>2326747.5</v>
      </c>
    </row>
    <row r="123" ht="15.75" customHeight="1">
      <c r="B123" s="30">
        <v>22.0</v>
      </c>
      <c r="C123" s="30">
        <f t="shared" si="28"/>
        <v>3</v>
      </c>
      <c r="D123" s="30">
        <f t="shared" si="34"/>
        <v>66</v>
      </c>
      <c r="E123" s="31">
        <f t="shared" si="29"/>
        <v>9228.75</v>
      </c>
      <c r="F123" s="31">
        <f t="shared" si="30"/>
        <v>209137.5</v>
      </c>
      <c r="G123" s="31">
        <f t="shared" si="31"/>
        <v>218366.25</v>
      </c>
      <c r="H123" s="31">
        <f t="shared" si="32"/>
        <v>3000</v>
      </c>
      <c r="I123" s="31">
        <f t="shared" si="33"/>
        <v>215366.25</v>
      </c>
      <c r="J123" s="31">
        <f t="shared" si="35"/>
        <v>2542113.75</v>
      </c>
    </row>
    <row r="124" ht="15.75" customHeight="1">
      <c r="B124" s="26">
        <v>23.0</v>
      </c>
      <c r="C124" s="26">
        <f t="shared" si="28"/>
        <v>3</v>
      </c>
      <c r="D124" s="26">
        <f t="shared" si="34"/>
        <v>69</v>
      </c>
      <c r="E124" s="28">
        <f t="shared" si="29"/>
        <v>9228.75</v>
      </c>
      <c r="F124" s="28">
        <f t="shared" si="30"/>
        <v>218643.75</v>
      </c>
      <c r="G124" s="28">
        <f t="shared" si="31"/>
        <v>227872.5</v>
      </c>
      <c r="H124" s="28">
        <f t="shared" si="32"/>
        <v>3000</v>
      </c>
      <c r="I124" s="28">
        <f t="shared" si="33"/>
        <v>224872.5</v>
      </c>
      <c r="J124" s="28">
        <f t="shared" si="35"/>
        <v>2766986.25</v>
      </c>
    </row>
    <row r="125" ht="15.75" customHeight="1">
      <c r="B125" s="30">
        <v>24.0</v>
      </c>
      <c r="C125" s="30">
        <f t="shared" si="28"/>
        <v>3</v>
      </c>
      <c r="D125" s="30">
        <f t="shared" si="34"/>
        <v>72</v>
      </c>
      <c r="E125" s="31">
        <f t="shared" si="29"/>
        <v>9228.75</v>
      </c>
      <c r="F125" s="31">
        <f t="shared" si="30"/>
        <v>228150</v>
      </c>
      <c r="G125" s="31">
        <f t="shared" si="31"/>
        <v>237378.75</v>
      </c>
      <c r="H125" s="31">
        <f t="shared" si="32"/>
        <v>3000</v>
      </c>
      <c r="I125" s="31">
        <f t="shared" si="33"/>
        <v>234378.75</v>
      </c>
      <c r="J125" s="31">
        <f t="shared" si="35"/>
        <v>3001365</v>
      </c>
    </row>
    <row r="126" ht="15.75" customHeight="1"/>
    <row r="127" ht="15.75" customHeight="1"/>
    <row r="128" ht="15.0" customHeight="1">
      <c r="B128" s="21" t="s">
        <v>158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35:K36"/>
    <mergeCell ref="B44:K44"/>
    <mergeCell ref="B72:K72"/>
    <mergeCell ref="B100:K100"/>
    <mergeCell ref="B128:K130"/>
    <mergeCell ref="A1:K1"/>
    <mergeCell ref="A2:K2"/>
    <mergeCell ref="B4:K4"/>
    <mergeCell ref="B16:K17"/>
    <mergeCell ref="B19:K19"/>
    <mergeCell ref="B25:K27"/>
    <mergeCell ref="B29:K2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95.0"/>
    <col customWidth="1" min="4" max="26" width="8.71"/>
  </cols>
  <sheetData>
    <row r="1" ht="25.5" customHeight="1">
      <c r="A1" s="1" t="s">
        <v>1</v>
      </c>
    </row>
    <row r="2" ht="15.0" customHeight="1">
      <c r="A2" s="2" t="s">
        <v>4</v>
      </c>
    </row>
    <row r="3">
      <c r="A3" s="3"/>
      <c r="B3" s="3"/>
      <c r="C3" s="3"/>
    </row>
    <row r="4" ht="15.0" customHeight="1">
      <c r="A4" s="3"/>
      <c r="B4" s="4"/>
      <c r="C4" s="5"/>
    </row>
    <row r="5" ht="18.0" customHeight="1">
      <c r="A5" s="8" t="s">
        <v>9</v>
      </c>
      <c r="B5" s="9"/>
      <c r="C5" s="12"/>
    </row>
    <row r="6" ht="26.25" customHeight="1">
      <c r="A6" s="3"/>
      <c r="B6" s="4" t="s">
        <v>33</v>
      </c>
      <c r="C6" s="5" t="s">
        <v>36</v>
      </c>
    </row>
    <row r="7" ht="15.0" customHeight="1">
      <c r="A7" s="3"/>
      <c r="B7" s="4" t="s">
        <v>19</v>
      </c>
      <c r="C7" s="5" t="s">
        <v>40</v>
      </c>
    </row>
    <row r="8" ht="26.25" customHeight="1">
      <c r="A8" s="3"/>
      <c r="B8" s="4" t="s">
        <v>44</v>
      </c>
      <c r="C8" s="5" t="s">
        <v>45</v>
      </c>
    </row>
    <row r="9" ht="15.0" customHeight="1">
      <c r="A9" s="3"/>
      <c r="B9" s="4"/>
      <c r="C9" s="5"/>
    </row>
    <row r="10" ht="18.0" customHeight="1">
      <c r="A10" s="8" t="s">
        <v>51</v>
      </c>
      <c r="B10" s="9"/>
      <c r="C10" s="12"/>
    </row>
    <row r="11" ht="39.0" customHeight="1">
      <c r="A11" s="3"/>
      <c r="B11" s="4" t="s">
        <v>55</v>
      </c>
      <c r="C11" s="5" t="s">
        <v>56</v>
      </c>
    </row>
    <row r="12" ht="39.0" customHeight="1">
      <c r="A12" s="3"/>
      <c r="B12" s="4" t="s">
        <v>58</v>
      </c>
      <c r="C12" s="5" t="s">
        <v>59</v>
      </c>
    </row>
    <row r="13" ht="39.0" customHeight="1">
      <c r="A13" s="3"/>
      <c r="B13" s="4" t="s">
        <v>60</v>
      </c>
      <c r="C13" s="5" t="s">
        <v>61</v>
      </c>
    </row>
    <row r="14" ht="15.0" customHeight="1">
      <c r="A14" s="3"/>
      <c r="B14" s="4"/>
      <c r="C14" s="5"/>
    </row>
    <row r="15" ht="18.0" customHeight="1">
      <c r="A15" s="8" t="s">
        <v>63</v>
      </c>
      <c r="B15" s="9"/>
      <c r="C15" s="12"/>
    </row>
    <row r="16" ht="51.75" customHeight="1">
      <c r="A16" s="3"/>
      <c r="B16" s="4" t="s">
        <v>65</v>
      </c>
      <c r="C16" s="5" t="s">
        <v>66</v>
      </c>
    </row>
    <row r="17" ht="90.0" customHeight="1">
      <c r="A17" s="3"/>
      <c r="B17" s="4" t="s">
        <v>67</v>
      </c>
      <c r="C17" s="5" t="s">
        <v>72</v>
      </c>
    </row>
    <row r="18" ht="15.0" customHeight="1">
      <c r="A18" s="3"/>
      <c r="B18" s="4"/>
      <c r="C18" s="5"/>
    </row>
    <row r="19" ht="18.0" customHeight="1">
      <c r="A19" s="8" t="s">
        <v>80</v>
      </c>
      <c r="B19" s="9"/>
      <c r="C19" s="12"/>
    </row>
    <row r="20" ht="39.0" customHeight="1">
      <c r="A20" s="3"/>
      <c r="B20" s="4" t="s">
        <v>81</v>
      </c>
      <c r="C20" s="5" t="s">
        <v>82</v>
      </c>
    </row>
    <row r="21" ht="26.25" customHeight="1">
      <c r="A21" s="3"/>
      <c r="B21" s="4" t="s">
        <v>83</v>
      </c>
      <c r="C21" s="5" t="s">
        <v>84</v>
      </c>
    </row>
    <row r="22" ht="64.5" customHeight="1">
      <c r="A22" s="3"/>
      <c r="B22" s="4" t="s">
        <v>85</v>
      </c>
      <c r="C22" s="5" t="s">
        <v>87</v>
      </c>
    </row>
    <row r="23" ht="51.75" customHeight="1">
      <c r="A23" s="3"/>
      <c r="B23" s="4" t="s">
        <v>88</v>
      </c>
      <c r="C23" s="5" t="s">
        <v>89</v>
      </c>
    </row>
    <row r="24" ht="39.0" customHeight="1">
      <c r="A24" s="3"/>
      <c r="B24" s="4" t="s">
        <v>90</v>
      </c>
      <c r="C24" s="5" t="s">
        <v>91</v>
      </c>
    </row>
    <row r="25" ht="77.25" customHeight="1">
      <c r="A25" s="3"/>
      <c r="B25" s="4" t="s">
        <v>92</v>
      </c>
      <c r="C25" s="5" t="s">
        <v>93</v>
      </c>
    </row>
    <row r="26" ht="15.0" customHeight="1">
      <c r="A26" s="3"/>
      <c r="B26" s="4"/>
      <c r="C26" s="5"/>
    </row>
    <row r="27" ht="18.0" customHeight="1">
      <c r="A27" s="8" t="s">
        <v>94</v>
      </c>
      <c r="B27" s="9"/>
      <c r="C27" s="12"/>
    </row>
    <row r="28" ht="26.25" customHeight="1">
      <c r="A28" s="3"/>
      <c r="B28" s="4" t="s">
        <v>95</v>
      </c>
      <c r="C28" s="5" t="s">
        <v>96</v>
      </c>
    </row>
    <row r="29" ht="26.25" customHeight="1">
      <c r="A29" s="3"/>
      <c r="B29" s="4" t="s">
        <v>97</v>
      </c>
      <c r="C29" s="5" t="s">
        <v>98</v>
      </c>
    </row>
    <row r="30" ht="26.25" customHeight="1">
      <c r="A30" s="3"/>
      <c r="B30" s="4" t="s">
        <v>99</v>
      </c>
      <c r="C30" s="5" t="s">
        <v>100</v>
      </c>
    </row>
    <row r="31" ht="15.0" customHeight="1">
      <c r="A31" s="3"/>
      <c r="B31" s="4" t="s">
        <v>102</v>
      </c>
      <c r="C31" s="5" t="s">
        <v>103</v>
      </c>
    </row>
    <row r="32" ht="15.0" customHeight="1">
      <c r="A32" s="3"/>
      <c r="B32" s="4"/>
      <c r="C32" s="5"/>
    </row>
    <row r="33" ht="64.5" customHeight="1">
      <c r="A33" s="3"/>
      <c r="B33" s="4"/>
      <c r="C33" s="5" t="s">
        <v>104</v>
      </c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mergeCells count="7">
    <mergeCell ref="A1:C1"/>
    <mergeCell ref="A2:C2"/>
    <mergeCell ref="A5:C5"/>
    <mergeCell ref="A10:C10"/>
    <mergeCell ref="A15:C15"/>
    <mergeCell ref="A19:C19"/>
    <mergeCell ref="A27:C2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6.0"/>
    <col customWidth="1" min="3" max="3" width="16.0"/>
    <col customWidth="1" min="4" max="4" width="45.0"/>
    <col customWidth="1" min="5" max="26" width="8.71"/>
  </cols>
  <sheetData>
    <row r="1" ht="25.5" customHeight="1">
      <c r="A1" s="1" t="s">
        <v>2</v>
      </c>
    </row>
    <row r="2" ht="15.0" customHeight="1">
      <c r="A2" s="2" t="s">
        <v>5</v>
      </c>
    </row>
    <row r="3">
      <c r="A3" s="3"/>
      <c r="B3" s="3"/>
      <c r="C3" s="3"/>
      <c r="D3" s="3"/>
    </row>
    <row r="4" ht="18.0" customHeight="1">
      <c r="A4" s="7"/>
      <c r="B4" s="7" t="s">
        <v>10</v>
      </c>
      <c r="C4" s="7" t="s">
        <v>11</v>
      </c>
      <c r="D4" s="7" t="s">
        <v>12</v>
      </c>
    </row>
    <row r="5" ht="30.0" customHeight="1">
      <c r="A5" s="3"/>
      <c r="B5" s="10" t="s">
        <v>13</v>
      </c>
      <c r="C5" s="11">
        <v>5400.0</v>
      </c>
      <c r="D5" s="13" t="s">
        <v>14</v>
      </c>
    </row>
    <row r="6" ht="30.0" customHeight="1">
      <c r="A6" s="3"/>
      <c r="B6" s="10" t="s">
        <v>15</v>
      </c>
      <c r="C6" s="11">
        <v>372.0</v>
      </c>
      <c r="D6" s="13" t="s">
        <v>16</v>
      </c>
    </row>
    <row r="7" ht="30.0" customHeight="1">
      <c r="A7" s="3"/>
      <c r="B7" s="10" t="s">
        <v>17</v>
      </c>
      <c r="C7" s="14">
        <v>0.73</v>
      </c>
      <c r="D7" s="13" t="s">
        <v>20</v>
      </c>
    </row>
    <row r="8" ht="30.0" customHeight="1">
      <c r="A8" s="3"/>
      <c r="B8" s="10" t="s">
        <v>22</v>
      </c>
      <c r="C8" s="15">
        <v>0.25</v>
      </c>
      <c r="D8" s="13" t="s">
        <v>26</v>
      </c>
    </row>
    <row r="9" ht="30.0" customHeight="1">
      <c r="A9" s="3"/>
      <c r="B9" s="10" t="s">
        <v>28</v>
      </c>
      <c r="C9" s="15">
        <v>0.17</v>
      </c>
      <c r="D9" s="13" t="s">
        <v>29</v>
      </c>
    </row>
    <row r="10" ht="30.0" customHeight="1">
      <c r="A10" s="3"/>
      <c r="B10" s="10" t="s">
        <v>31</v>
      </c>
      <c r="C10" s="15">
        <v>0.08</v>
      </c>
      <c r="D10" s="13" t="s">
        <v>34</v>
      </c>
    </row>
    <row r="11" ht="30.0" customHeight="1">
      <c r="A11" s="3"/>
      <c r="B11" s="10" t="s">
        <v>35</v>
      </c>
      <c r="C11" s="15">
        <v>0.12</v>
      </c>
      <c r="D11" s="13" t="s">
        <v>37</v>
      </c>
    </row>
    <row r="12" ht="30.0" customHeight="1">
      <c r="A12" s="3"/>
      <c r="B12" s="10" t="s">
        <v>38</v>
      </c>
      <c r="C12" s="15">
        <v>0.4</v>
      </c>
      <c r="D12" s="13" t="s">
        <v>41</v>
      </c>
    </row>
    <row r="13" ht="30.0" customHeight="1">
      <c r="A13" s="3"/>
      <c r="B13" s="10" t="s">
        <v>42</v>
      </c>
      <c r="C13" s="17">
        <v>0.015</v>
      </c>
      <c r="D13" s="13" t="s">
        <v>46</v>
      </c>
    </row>
    <row r="14" ht="30.0" customHeight="1">
      <c r="A14" s="3"/>
      <c r="B14" s="10" t="s">
        <v>48</v>
      </c>
      <c r="C14" s="17">
        <v>0.03</v>
      </c>
      <c r="D14" s="13" t="s">
        <v>50</v>
      </c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8.0"/>
    <col customWidth="1" min="3" max="3" width="18.0"/>
    <col customWidth="1" min="4" max="4" width="45.0"/>
    <col customWidth="1" min="5" max="26" width="8.71"/>
  </cols>
  <sheetData>
    <row r="1" ht="25.5" customHeight="1">
      <c r="A1" s="1" t="s">
        <v>159</v>
      </c>
    </row>
    <row r="2" ht="15.0" customHeight="1">
      <c r="A2" s="2" t="s">
        <v>160</v>
      </c>
    </row>
    <row r="3">
      <c r="A3" s="3"/>
      <c r="B3" s="3"/>
      <c r="C3" s="3"/>
      <c r="D3" s="3"/>
    </row>
    <row r="4" ht="18.0" customHeight="1">
      <c r="A4" s="7"/>
      <c r="B4" s="7" t="s">
        <v>161</v>
      </c>
      <c r="C4" s="7" t="s">
        <v>162</v>
      </c>
      <c r="D4" s="7" t="s">
        <v>163</v>
      </c>
    </row>
    <row r="5" ht="15.0" customHeight="1">
      <c r="A5" s="3"/>
      <c r="B5" s="10" t="s">
        <v>164</v>
      </c>
      <c r="C5" s="35">
        <f>Assumptions!$C$5</f>
        <v>5400</v>
      </c>
      <c r="D5" s="13" t="s">
        <v>165</v>
      </c>
    </row>
    <row r="6" ht="15.0" customHeight="1">
      <c r="A6" s="3"/>
      <c r="B6" s="10" t="s">
        <v>166</v>
      </c>
      <c r="C6" s="36">
        <f>Assumptions!$C$8</f>
        <v>0.25</v>
      </c>
      <c r="D6" s="13" t="s">
        <v>167</v>
      </c>
    </row>
    <row r="7" ht="15.0" customHeight="1">
      <c r="A7" s="3"/>
      <c r="B7" s="37" t="s">
        <v>168</v>
      </c>
      <c r="C7" s="38">
        <f>C5*C6</f>
        <v>1350</v>
      </c>
      <c r="D7" s="39" t="s">
        <v>169</v>
      </c>
    </row>
    <row r="8">
      <c r="A8" s="3"/>
      <c r="B8" s="3"/>
      <c r="C8" s="3"/>
      <c r="D8" s="3"/>
    </row>
    <row r="9" ht="15.0" customHeight="1">
      <c r="A9" s="3"/>
      <c r="B9" s="10" t="s">
        <v>170</v>
      </c>
      <c r="C9" s="36">
        <f>Assumptions!$C$10</f>
        <v>0.08</v>
      </c>
      <c r="D9" s="13" t="s">
        <v>173</v>
      </c>
    </row>
    <row r="10" ht="21.75" customHeight="1">
      <c r="A10" s="3"/>
      <c r="B10" s="37" t="s">
        <v>174</v>
      </c>
      <c r="C10" s="38">
        <f>C7*C9</f>
        <v>108</v>
      </c>
      <c r="D10" s="39" t="s">
        <v>175</v>
      </c>
    </row>
    <row r="11">
      <c r="A11" s="3"/>
      <c r="B11" s="3"/>
      <c r="C11" s="3"/>
      <c r="D11" s="3"/>
    </row>
    <row r="12" ht="21.75" customHeight="1">
      <c r="A12" s="3"/>
      <c r="B12" s="10" t="s">
        <v>178</v>
      </c>
      <c r="C12" s="36">
        <f>Assumptions!$C$11</f>
        <v>0.12</v>
      </c>
      <c r="D12" s="13" t="s">
        <v>181</v>
      </c>
    </row>
    <row r="13" ht="21.75" customHeight="1">
      <c r="A13" s="3"/>
      <c r="B13" s="25" t="s">
        <v>182</v>
      </c>
      <c r="C13" s="41">
        <f>C10*C12</f>
        <v>12.96</v>
      </c>
      <c r="D13" s="42" t="s">
        <v>183</v>
      </c>
    </row>
    <row r="14">
      <c r="A14" s="3"/>
      <c r="B14" s="3"/>
      <c r="C14" s="3"/>
      <c r="D14" s="3"/>
    </row>
    <row r="15" ht="21.75" customHeight="1">
      <c r="A15" s="3"/>
      <c r="B15" s="10" t="s">
        <v>184</v>
      </c>
      <c r="C15" s="36">
        <f>Assumptions!$C$12</f>
        <v>0.4</v>
      </c>
      <c r="D15" s="13" t="s">
        <v>185</v>
      </c>
    </row>
    <row r="16" ht="15.0" customHeight="1">
      <c r="A16" s="3"/>
      <c r="B16" s="25" t="s">
        <v>186</v>
      </c>
      <c r="C16" s="41">
        <f>C13*C15</f>
        <v>5.184</v>
      </c>
      <c r="D16" s="42" t="s">
        <v>187</v>
      </c>
    </row>
    <row r="17">
      <c r="A17" s="3"/>
      <c r="B17" s="3"/>
      <c r="C17" s="3"/>
      <c r="D17" s="3"/>
    </row>
    <row r="18" ht="15.0" customHeight="1">
      <c r="A18" s="3"/>
      <c r="B18" s="10" t="s">
        <v>188</v>
      </c>
      <c r="C18" s="46">
        <f>Assumptions!$C$13</f>
        <v>0.015</v>
      </c>
      <c r="D18" s="13" t="s">
        <v>189</v>
      </c>
    </row>
    <row r="19" ht="15.0" customHeight="1">
      <c r="A19" s="3"/>
      <c r="B19" s="25" t="s">
        <v>190</v>
      </c>
      <c r="C19" s="41">
        <f>C16*C18</f>
        <v>0.07776</v>
      </c>
      <c r="D19" s="42" t="s">
        <v>191</v>
      </c>
    </row>
    <row r="20" ht="15.0" customHeight="1">
      <c r="A20" s="3"/>
      <c r="B20" s="10" t="s">
        <v>192</v>
      </c>
      <c r="C20" s="46">
        <f>Assumptions!$C$14</f>
        <v>0.03</v>
      </c>
      <c r="D20" s="13" t="s">
        <v>193</v>
      </c>
    </row>
    <row r="21" ht="15.0" customHeight="1">
      <c r="A21" s="3"/>
      <c r="B21" s="25" t="s">
        <v>194</v>
      </c>
      <c r="C21" s="41">
        <f>C16*C20</f>
        <v>0.15552</v>
      </c>
      <c r="D21" s="42" t="s">
        <v>195</v>
      </c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22.0"/>
    <col customWidth="1" min="3" max="3" width="16.0"/>
    <col customWidth="1" min="4" max="4" width="12.0"/>
    <col customWidth="1" min="5" max="10" width="14.0"/>
    <col customWidth="1" min="11" max="26" width="8.71"/>
  </cols>
  <sheetData>
    <row r="1" ht="25.5" customHeight="1">
      <c r="A1" s="1" t="s">
        <v>171</v>
      </c>
    </row>
    <row r="2" ht="15.0" customHeight="1">
      <c r="A2" s="2" t="s">
        <v>172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 ht="31.5" customHeight="1">
      <c r="A4" s="7"/>
      <c r="B4" s="7" t="s">
        <v>105</v>
      </c>
      <c r="C4" s="7" t="s">
        <v>176</v>
      </c>
      <c r="D4" s="7" t="s">
        <v>177</v>
      </c>
      <c r="E4" s="7" t="s">
        <v>179</v>
      </c>
      <c r="F4" s="7" t="s">
        <v>180</v>
      </c>
      <c r="G4" s="7" t="s">
        <v>106</v>
      </c>
      <c r="H4" s="7" t="s">
        <v>107</v>
      </c>
      <c r="I4" s="7" t="s">
        <v>108</v>
      </c>
      <c r="J4" s="7" t="s">
        <v>109</v>
      </c>
    </row>
    <row r="5" ht="15.0" customHeight="1">
      <c r="A5" s="3"/>
      <c r="B5" s="10" t="s">
        <v>110</v>
      </c>
      <c r="C5" s="40">
        <v>39.0</v>
      </c>
      <c r="D5" s="43">
        <f t="shared" ref="D5:D55" si="1">C5/SUM($C$5:$C$55)</f>
        <v>0.1150951749</v>
      </c>
      <c r="E5" s="44">
        <v>1.05</v>
      </c>
      <c r="F5" s="45">
        <f t="shared" ref="F5:F55" si="2">D5*E5</f>
        <v>0.1208499336</v>
      </c>
      <c r="G5" s="47">
        <f>($F5/$F$57)*'US National Model'!$C$13*1000</f>
        <v>1578.165135</v>
      </c>
      <c r="H5" s="47">
        <f>($F5/$F$57)*'US National Model'!$C$16*1000</f>
        <v>631.2660541</v>
      </c>
      <c r="I5" s="47">
        <f>($F5/$F$57)*'US National Model'!$C$19*1000</f>
        <v>9.468990812</v>
      </c>
      <c r="J5" s="28">
        <f>($F5/$F$57)*'US National Model'!$C$21*1000</f>
        <v>18.93798162</v>
      </c>
    </row>
    <row r="6" ht="15.0" customHeight="1">
      <c r="A6" s="3"/>
      <c r="B6" s="22" t="s">
        <v>111</v>
      </c>
      <c r="C6" s="48">
        <v>31.3</v>
      </c>
      <c r="D6" s="49">
        <f t="shared" si="1"/>
        <v>0.09237125572</v>
      </c>
      <c r="E6" s="50">
        <v>0.9</v>
      </c>
      <c r="F6" s="51">
        <f t="shared" si="2"/>
        <v>0.08313413015</v>
      </c>
      <c r="G6" s="52">
        <f>($F6/$F$57)*'US National Model'!$C$13*1000</f>
        <v>1085.638873</v>
      </c>
      <c r="H6" s="52">
        <f>($F6/$F$57)*'US National Model'!$C$16*1000</f>
        <v>434.2555493</v>
      </c>
      <c r="I6" s="52">
        <f>($F6/$F$57)*'US National Model'!$C$19*1000</f>
        <v>6.51383324</v>
      </c>
      <c r="J6" s="31">
        <f>($F6/$F$57)*'US National Model'!$C$21*1000</f>
        <v>13.02766648</v>
      </c>
    </row>
    <row r="7" ht="15.0" customHeight="1">
      <c r="A7" s="3"/>
      <c r="B7" s="10" t="s">
        <v>126</v>
      </c>
      <c r="C7" s="40">
        <v>23.4</v>
      </c>
      <c r="D7" s="43">
        <f t="shared" si="1"/>
        <v>0.06905710491</v>
      </c>
      <c r="E7" s="44">
        <v>1.02</v>
      </c>
      <c r="F7" s="45">
        <f t="shared" si="2"/>
        <v>0.07043824701</v>
      </c>
      <c r="G7" s="47">
        <f>($F7/$F$57)*'US National Model'!$C$13*1000</f>
        <v>919.8448217</v>
      </c>
      <c r="H7" s="47">
        <f>($F7/$F$57)*'US National Model'!$C$16*1000</f>
        <v>367.9379287</v>
      </c>
      <c r="I7" s="47">
        <f>($F7/$F$57)*'US National Model'!$C$19*1000</f>
        <v>5.51906893</v>
      </c>
      <c r="J7" s="28">
        <f>($F7/$F$57)*'US National Model'!$C$21*1000</f>
        <v>11.03813786</v>
      </c>
    </row>
    <row r="8" ht="15.0" customHeight="1">
      <c r="A8" s="3"/>
      <c r="B8" s="22" t="s">
        <v>120</v>
      </c>
      <c r="C8" s="48">
        <v>19.9</v>
      </c>
      <c r="D8" s="49">
        <f t="shared" si="1"/>
        <v>0.05872805076</v>
      </c>
      <c r="E8" s="50">
        <v>1.22</v>
      </c>
      <c r="F8" s="51">
        <f t="shared" si="2"/>
        <v>0.07164822193</v>
      </c>
      <c r="G8" s="52">
        <f>($F8/$F$57)*'US National Model'!$C$13*1000</f>
        <v>935.6457425</v>
      </c>
      <c r="H8" s="52">
        <f>($F8/$F$57)*'US National Model'!$C$16*1000</f>
        <v>374.258297</v>
      </c>
      <c r="I8" s="52">
        <f>($F8/$F$57)*'US National Model'!$C$19*1000</f>
        <v>5.613874455</v>
      </c>
      <c r="J8" s="31">
        <f>($F8/$F$57)*'US National Model'!$C$21*1000</f>
        <v>11.22774891</v>
      </c>
    </row>
    <row r="9" ht="15.0" customHeight="1">
      <c r="A9" s="3"/>
      <c r="B9" s="10" t="s">
        <v>138</v>
      </c>
      <c r="C9" s="40">
        <v>13.1</v>
      </c>
      <c r="D9" s="43">
        <f t="shared" si="1"/>
        <v>0.03866017412</v>
      </c>
      <c r="E9" s="44">
        <v>1.05</v>
      </c>
      <c r="F9" s="45">
        <f t="shared" si="2"/>
        <v>0.04059318282</v>
      </c>
      <c r="G9" s="47">
        <f>($F9/$F$57)*'US National Model'!$C$13*1000</f>
        <v>530.1016224</v>
      </c>
      <c r="H9" s="47">
        <f>($F9/$F$57)*'US National Model'!$C$16*1000</f>
        <v>212.040649</v>
      </c>
      <c r="I9" s="47">
        <f>($F9/$F$57)*'US National Model'!$C$19*1000</f>
        <v>3.180609734</v>
      </c>
      <c r="J9" s="28">
        <f>($F9/$F$57)*'US National Model'!$C$21*1000</f>
        <v>6.361219469</v>
      </c>
    </row>
    <row r="10" ht="15.0" customHeight="1">
      <c r="A10" s="3"/>
      <c r="B10" s="22" t="s">
        <v>139</v>
      </c>
      <c r="C10" s="48">
        <v>12.6</v>
      </c>
      <c r="D10" s="49">
        <f t="shared" si="1"/>
        <v>0.03718459495</v>
      </c>
      <c r="E10" s="50">
        <v>0.98</v>
      </c>
      <c r="F10" s="51">
        <f t="shared" si="2"/>
        <v>0.03644090305</v>
      </c>
      <c r="G10" s="52">
        <f>($F10/$F$57)*'US National Model'!$C$13*1000</f>
        <v>475.877487</v>
      </c>
      <c r="H10" s="52">
        <f>($F10/$F$57)*'US National Model'!$C$16*1000</f>
        <v>190.3509948</v>
      </c>
      <c r="I10" s="52">
        <f>($F10/$F$57)*'US National Model'!$C$19*1000</f>
        <v>2.855264922</v>
      </c>
      <c r="J10" s="31">
        <f>($F10/$F$57)*'US National Model'!$C$21*1000</f>
        <v>5.710529844</v>
      </c>
    </row>
    <row r="11" ht="15.0" customHeight="1">
      <c r="A11" s="3"/>
      <c r="B11" s="10" t="s">
        <v>140</v>
      </c>
      <c r="C11" s="40">
        <v>11.9</v>
      </c>
      <c r="D11" s="43">
        <f t="shared" si="1"/>
        <v>0.03511878412</v>
      </c>
      <c r="E11" s="44">
        <v>1.0</v>
      </c>
      <c r="F11" s="45">
        <f t="shared" si="2"/>
        <v>0.03511878412</v>
      </c>
      <c r="G11" s="47">
        <f>($F11/$F$57)*'US National Model'!$C$13*1000</f>
        <v>458.6120906</v>
      </c>
      <c r="H11" s="47">
        <f>($F11/$F$57)*'US National Model'!$C$16*1000</f>
        <v>183.4448362</v>
      </c>
      <c r="I11" s="47">
        <f>($F11/$F$57)*'US National Model'!$C$19*1000</f>
        <v>2.751672544</v>
      </c>
      <c r="J11" s="28">
        <f>($F11/$F$57)*'US National Model'!$C$21*1000</f>
        <v>5.503345087</v>
      </c>
    </row>
    <row r="12" ht="15.0" customHeight="1">
      <c r="A12" s="3"/>
      <c r="B12" s="22" t="s">
        <v>212</v>
      </c>
      <c r="C12" s="48">
        <v>11.2</v>
      </c>
      <c r="D12" s="49">
        <f t="shared" si="1"/>
        <v>0.03305297329</v>
      </c>
      <c r="E12" s="50">
        <v>0.82</v>
      </c>
      <c r="F12" s="51">
        <f t="shared" si="2"/>
        <v>0.0271034381</v>
      </c>
      <c r="G12" s="52">
        <f>($F12/$F$57)*'US National Model'!$C$13*1000</f>
        <v>353.9406252</v>
      </c>
      <c r="H12" s="52">
        <f>($F12/$F$57)*'US National Model'!$C$16*1000</f>
        <v>141.5762501</v>
      </c>
      <c r="I12" s="52">
        <f>($F12/$F$57)*'US National Model'!$C$19*1000</f>
        <v>2.123643751</v>
      </c>
      <c r="J12" s="31">
        <f>($F12/$F$57)*'US National Model'!$C$21*1000</f>
        <v>4.247287503</v>
      </c>
    </row>
    <row r="13" ht="15.0" customHeight="1">
      <c r="A13" s="3"/>
      <c r="B13" s="10" t="s">
        <v>143</v>
      </c>
      <c r="C13" s="40">
        <v>11.0</v>
      </c>
      <c r="D13" s="43">
        <f t="shared" si="1"/>
        <v>0.03246274163</v>
      </c>
      <c r="E13" s="44">
        <v>0.9</v>
      </c>
      <c r="F13" s="45">
        <f t="shared" si="2"/>
        <v>0.02921646746</v>
      </c>
      <c r="G13" s="47">
        <f>($F13/$F$57)*'US National Model'!$C$13*1000</f>
        <v>381.5344283</v>
      </c>
      <c r="H13" s="47">
        <f>($F13/$F$57)*'US National Model'!$C$16*1000</f>
        <v>152.6137713</v>
      </c>
      <c r="I13" s="47">
        <f>($F13/$F$57)*'US National Model'!$C$19*1000</f>
        <v>2.28920657</v>
      </c>
      <c r="J13" s="28">
        <f>($F13/$F$57)*'US National Model'!$C$21*1000</f>
        <v>4.57841314</v>
      </c>
    </row>
    <row r="14" ht="15.0" customHeight="1">
      <c r="A14" s="3"/>
      <c r="B14" s="22" t="s">
        <v>142</v>
      </c>
      <c r="C14" s="48">
        <v>10.1</v>
      </c>
      <c r="D14" s="49">
        <f t="shared" si="1"/>
        <v>0.02980669913</v>
      </c>
      <c r="E14" s="50">
        <v>1.0</v>
      </c>
      <c r="F14" s="51">
        <f t="shared" si="2"/>
        <v>0.02980669913</v>
      </c>
      <c r="G14" s="52">
        <f>($F14/$F$57)*'US National Model'!$C$13*1000</f>
        <v>389.2421945</v>
      </c>
      <c r="H14" s="52">
        <f>($F14/$F$57)*'US National Model'!$C$16*1000</f>
        <v>155.6968778</v>
      </c>
      <c r="I14" s="52">
        <f>($F14/$F$57)*'US National Model'!$C$19*1000</f>
        <v>2.335453167</v>
      </c>
      <c r="J14" s="31">
        <f>($F14/$F$57)*'US National Model'!$C$21*1000</f>
        <v>4.670906335</v>
      </c>
    </row>
    <row r="15" ht="15.0" customHeight="1">
      <c r="A15" s="3"/>
      <c r="B15" s="10" t="s">
        <v>141</v>
      </c>
      <c r="C15" s="40">
        <v>9.5</v>
      </c>
      <c r="D15" s="43">
        <f t="shared" si="1"/>
        <v>0.02803600413</v>
      </c>
      <c r="E15" s="44">
        <v>1.1</v>
      </c>
      <c r="F15" s="45">
        <f t="shared" si="2"/>
        <v>0.03083960454</v>
      </c>
      <c r="G15" s="47">
        <f>($F15/$F$57)*'US National Model'!$C$13*1000</f>
        <v>402.7307854</v>
      </c>
      <c r="H15" s="47">
        <f>($F15/$F$57)*'US National Model'!$C$16*1000</f>
        <v>161.0923142</v>
      </c>
      <c r="I15" s="47">
        <f>($F15/$F$57)*'US National Model'!$C$19*1000</f>
        <v>2.416384713</v>
      </c>
      <c r="J15" s="28">
        <f>($F15/$F$57)*'US National Model'!$C$21*1000</f>
        <v>4.832769425</v>
      </c>
    </row>
    <row r="16" ht="15.0" customHeight="1">
      <c r="A16" s="3"/>
      <c r="B16" s="22" t="s">
        <v>218</v>
      </c>
      <c r="C16" s="48">
        <v>8.8</v>
      </c>
      <c r="D16" s="49">
        <f t="shared" si="1"/>
        <v>0.0259701933</v>
      </c>
      <c r="E16" s="50">
        <v>0.92</v>
      </c>
      <c r="F16" s="51">
        <f t="shared" si="2"/>
        <v>0.02389257784</v>
      </c>
      <c r="G16" s="52">
        <f>($F16/$F$57)*'US National Model'!$C$13*1000</f>
        <v>312.0103769</v>
      </c>
      <c r="H16" s="52">
        <f>($F16/$F$57)*'US National Model'!$C$16*1000</f>
        <v>124.8041508</v>
      </c>
      <c r="I16" s="52">
        <f>($F16/$F$57)*'US National Model'!$C$19*1000</f>
        <v>1.872062262</v>
      </c>
      <c r="J16" s="31">
        <f>($F16/$F$57)*'US National Model'!$C$21*1000</f>
        <v>3.744124523</v>
      </c>
    </row>
    <row r="17" ht="15.0" customHeight="1">
      <c r="A17" s="3"/>
      <c r="B17" s="10" t="s">
        <v>219</v>
      </c>
      <c r="C17" s="40">
        <v>7.9</v>
      </c>
      <c r="D17" s="43">
        <f t="shared" si="1"/>
        <v>0.0233141508</v>
      </c>
      <c r="E17" s="44">
        <v>0.98</v>
      </c>
      <c r="F17" s="45">
        <f t="shared" si="2"/>
        <v>0.02284786779</v>
      </c>
      <c r="G17" s="47">
        <f>($F17/$F$57)*'US National Model'!$C$13*1000</f>
        <v>298.3676307</v>
      </c>
      <c r="H17" s="47">
        <f>($F17/$F$57)*'US National Model'!$C$16*1000</f>
        <v>119.3470523</v>
      </c>
      <c r="I17" s="47">
        <f>($F17/$F$57)*'US National Model'!$C$19*1000</f>
        <v>1.790205784</v>
      </c>
      <c r="J17" s="28">
        <f>($F17/$F$57)*'US National Model'!$C$21*1000</f>
        <v>3.580411569</v>
      </c>
    </row>
    <row r="18" ht="15.0" customHeight="1">
      <c r="A18" s="3"/>
      <c r="B18" s="22" t="s">
        <v>220</v>
      </c>
      <c r="C18" s="48">
        <v>7.6</v>
      </c>
      <c r="D18" s="49">
        <f t="shared" si="1"/>
        <v>0.02242880331</v>
      </c>
      <c r="E18" s="50">
        <v>0.85</v>
      </c>
      <c r="F18" s="51">
        <f t="shared" si="2"/>
        <v>0.01906448281</v>
      </c>
      <c r="G18" s="52">
        <f>($F18/$F$57)*'US National Model'!$C$13*1000</f>
        <v>248.9608492</v>
      </c>
      <c r="H18" s="52">
        <f>($F18/$F$57)*'US National Model'!$C$16*1000</f>
        <v>99.58433967</v>
      </c>
      <c r="I18" s="52">
        <f>($F18/$F$57)*'US National Model'!$C$19*1000</f>
        <v>1.493765095</v>
      </c>
      <c r="J18" s="31">
        <f>($F18/$F$57)*'US National Model'!$C$21*1000</f>
        <v>2.98753019</v>
      </c>
    </row>
    <row r="19" ht="15.0" customHeight="1">
      <c r="A19" s="3"/>
      <c r="B19" s="10" t="s">
        <v>221</v>
      </c>
      <c r="C19" s="40">
        <v>7.2</v>
      </c>
      <c r="D19" s="43">
        <f t="shared" si="1"/>
        <v>0.02124833997</v>
      </c>
      <c r="E19" s="44">
        <v>0.95</v>
      </c>
      <c r="F19" s="45">
        <f t="shared" si="2"/>
        <v>0.02018592297</v>
      </c>
      <c r="G19" s="47">
        <f>($F19/$F$57)*'US National Model'!$C$13*1000</f>
        <v>263.605605</v>
      </c>
      <c r="H19" s="47">
        <f>($F19/$F$57)*'US National Model'!$C$16*1000</f>
        <v>105.442242</v>
      </c>
      <c r="I19" s="47">
        <f>($F19/$F$57)*'US National Model'!$C$19*1000</f>
        <v>1.58163363</v>
      </c>
      <c r="J19" s="28">
        <f>($F19/$F$57)*'US National Model'!$C$21*1000</f>
        <v>3.16326726</v>
      </c>
    </row>
    <row r="20" ht="15.0" customHeight="1">
      <c r="A20" s="3"/>
      <c r="B20" s="22" t="s">
        <v>222</v>
      </c>
      <c r="C20" s="48">
        <v>7.1</v>
      </c>
      <c r="D20" s="49">
        <f t="shared" si="1"/>
        <v>0.02095322414</v>
      </c>
      <c r="E20" s="50">
        <v>1.3</v>
      </c>
      <c r="F20" s="51">
        <f t="shared" si="2"/>
        <v>0.02723919138</v>
      </c>
      <c r="G20" s="52">
        <f>($F20/$F$57)*'US National Model'!$C$13*1000</f>
        <v>355.7134115</v>
      </c>
      <c r="H20" s="52">
        <f>($F20/$F$57)*'US National Model'!$C$16*1000</f>
        <v>142.2853646</v>
      </c>
      <c r="I20" s="52">
        <f>($F20/$F$57)*'US National Model'!$C$19*1000</f>
        <v>2.134280469</v>
      </c>
      <c r="J20" s="31">
        <f>($F20/$F$57)*'US National Model'!$C$21*1000</f>
        <v>4.268560937</v>
      </c>
    </row>
    <row r="21" ht="15.0" customHeight="1">
      <c r="A21" s="3"/>
      <c r="B21" s="10" t="s">
        <v>223</v>
      </c>
      <c r="C21" s="40">
        <v>6.9</v>
      </c>
      <c r="D21" s="43">
        <f t="shared" si="1"/>
        <v>0.02036299247</v>
      </c>
      <c r="E21" s="44">
        <v>0.92</v>
      </c>
      <c r="F21" s="45">
        <f t="shared" si="2"/>
        <v>0.01873395308</v>
      </c>
      <c r="G21" s="47">
        <f>($F21/$F$57)*'US National Model'!$C$13*1000</f>
        <v>244.6445001</v>
      </c>
      <c r="H21" s="47">
        <f>($F21/$F$57)*'US National Model'!$C$16*1000</f>
        <v>97.85780004</v>
      </c>
      <c r="I21" s="47">
        <f>($F21/$F$57)*'US National Model'!$C$19*1000</f>
        <v>1.467867001</v>
      </c>
      <c r="J21" s="28">
        <f>($F21/$F$57)*'US National Model'!$C$21*1000</f>
        <v>2.935734001</v>
      </c>
    </row>
    <row r="22" ht="15.0" customHeight="1">
      <c r="A22" s="3"/>
      <c r="B22" s="22" t="s">
        <v>224</v>
      </c>
      <c r="C22" s="48">
        <v>6.3</v>
      </c>
      <c r="D22" s="49">
        <f t="shared" si="1"/>
        <v>0.01859229748</v>
      </c>
      <c r="E22" s="50">
        <v>1.05</v>
      </c>
      <c r="F22" s="51">
        <f t="shared" si="2"/>
        <v>0.01952191235</v>
      </c>
      <c r="G22" s="52">
        <f>($F22/$F$57)*'US National Model'!$C$13*1000</f>
        <v>254.934368</v>
      </c>
      <c r="H22" s="52">
        <f>($F22/$F$57)*'US National Model'!$C$16*1000</f>
        <v>101.9737472</v>
      </c>
      <c r="I22" s="52">
        <f>($F22/$F$57)*'US National Model'!$C$19*1000</f>
        <v>1.529606208</v>
      </c>
      <c r="J22" s="31">
        <f>($F22/$F$57)*'US National Model'!$C$21*1000</f>
        <v>3.059212416</v>
      </c>
    </row>
    <row r="23" ht="15.0" customHeight="1">
      <c r="A23" s="3"/>
      <c r="B23" s="10" t="s">
        <v>225</v>
      </c>
      <c r="C23" s="40">
        <v>6.2</v>
      </c>
      <c r="D23" s="43">
        <f t="shared" si="1"/>
        <v>0.01829718164</v>
      </c>
      <c r="E23" s="44">
        <v>0.95</v>
      </c>
      <c r="F23" s="45">
        <f t="shared" si="2"/>
        <v>0.01738232256</v>
      </c>
      <c r="G23" s="47">
        <f>($F23/$F$57)*'US National Model'!$C$13*1000</f>
        <v>226.9937154</v>
      </c>
      <c r="H23" s="47">
        <f>($F23/$F$57)*'US National Model'!$C$16*1000</f>
        <v>90.79748617</v>
      </c>
      <c r="I23" s="47">
        <f>($F23/$F$57)*'US National Model'!$C$19*1000</f>
        <v>1.361962293</v>
      </c>
      <c r="J23" s="28">
        <f>($F23/$F$57)*'US National Model'!$C$21*1000</f>
        <v>2.723924585</v>
      </c>
    </row>
    <row r="24" ht="15.0" customHeight="1">
      <c r="A24" s="3"/>
      <c r="B24" s="22" t="s">
        <v>226</v>
      </c>
      <c r="C24" s="48">
        <v>6.0</v>
      </c>
      <c r="D24" s="49">
        <f t="shared" si="1"/>
        <v>0.01770694998</v>
      </c>
      <c r="E24" s="50">
        <v>0.9</v>
      </c>
      <c r="F24" s="51">
        <f t="shared" si="2"/>
        <v>0.01593625498</v>
      </c>
      <c r="G24" s="52">
        <f>($F24/$F$57)*'US National Model'!$C$13*1000</f>
        <v>208.1096882</v>
      </c>
      <c r="H24" s="52">
        <f>($F24/$F$57)*'US National Model'!$C$16*1000</f>
        <v>83.24387527</v>
      </c>
      <c r="I24" s="52">
        <f>($F24/$F$57)*'US National Model'!$C$19*1000</f>
        <v>1.248658129</v>
      </c>
      <c r="J24" s="31">
        <f>($F24/$F$57)*'US National Model'!$C$21*1000</f>
        <v>2.497316258</v>
      </c>
    </row>
    <row r="25" ht="15.0" customHeight="1">
      <c r="A25" s="3"/>
      <c r="B25" s="10" t="s">
        <v>227</v>
      </c>
      <c r="C25" s="40">
        <v>5.9</v>
      </c>
      <c r="D25" s="43">
        <f t="shared" si="1"/>
        <v>0.01741183414</v>
      </c>
      <c r="E25" s="44">
        <v>1.0</v>
      </c>
      <c r="F25" s="45">
        <f t="shared" si="2"/>
        <v>0.01741183414</v>
      </c>
      <c r="G25" s="47">
        <f>($F25/$F$57)*'US National Model'!$C$13*1000</f>
        <v>227.3791037</v>
      </c>
      <c r="H25" s="47">
        <f>($F25/$F$57)*'US National Model'!$C$16*1000</f>
        <v>90.9516415</v>
      </c>
      <c r="I25" s="47">
        <f>($F25/$F$57)*'US National Model'!$C$19*1000</f>
        <v>1.364274622</v>
      </c>
      <c r="J25" s="28">
        <f>($F25/$F$57)*'US National Model'!$C$21*1000</f>
        <v>2.728549245</v>
      </c>
    </row>
    <row r="26" ht="15.0" customHeight="1">
      <c r="A26" s="3"/>
      <c r="B26" s="22" t="s">
        <v>228</v>
      </c>
      <c r="C26" s="48">
        <v>5.8</v>
      </c>
      <c r="D26" s="49">
        <f t="shared" si="1"/>
        <v>0.01711671831</v>
      </c>
      <c r="E26" s="50">
        <v>1.05</v>
      </c>
      <c r="F26" s="51">
        <f t="shared" si="2"/>
        <v>0.01797255423</v>
      </c>
      <c r="G26" s="52">
        <f>($F26/$F$57)*'US National Model'!$C$13*1000</f>
        <v>234.7014817</v>
      </c>
      <c r="H26" s="52">
        <f>($F26/$F$57)*'US National Model'!$C$16*1000</f>
        <v>93.88059267</v>
      </c>
      <c r="I26" s="52">
        <f>($F26/$F$57)*'US National Model'!$C$19*1000</f>
        <v>1.40820889</v>
      </c>
      <c r="J26" s="31">
        <f>($F26/$F$57)*'US National Model'!$C$21*1000</f>
        <v>2.81641778</v>
      </c>
    </row>
    <row r="27" ht="15.0" customHeight="1">
      <c r="A27" s="3"/>
      <c r="B27" s="10" t="s">
        <v>229</v>
      </c>
      <c r="C27" s="40">
        <v>5.5</v>
      </c>
      <c r="D27" s="43">
        <f t="shared" si="1"/>
        <v>0.01623137081</v>
      </c>
      <c r="E27" s="44">
        <v>0.88</v>
      </c>
      <c r="F27" s="45">
        <f t="shared" si="2"/>
        <v>0.01428360632</v>
      </c>
      <c r="G27" s="47">
        <f>($F27/$F$57)*'US National Model'!$C$13*1000</f>
        <v>186.5279427</v>
      </c>
      <c r="H27" s="47">
        <f>($F27/$F$57)*'US National Model'!$C$16*1000</f>
        <v>74.61117709</v>
      </c>
      <c r="I27" s="47">
        <f>($F27/$F$57)*'US National Model'!$C$19*1000</f>
        <v>1.119167656</v>
      </c>
      <c r="J27" s="28">
        <f>($F27/$F$57)*'US National Model'!$C$21*1000</f>
        <v>2.238335313</v>
      </c>
    </row>
    <row r="28" ht="15.0" customHeight="1">
      <c r="A28" s="3"/>
      <c r="B28" s="22" t="s">
        <v>230</v>
      </c>
      <c r="C28" s="48">
        <v>5.1</v>
      </c>
      <c r="D28" s="49">
        <f t="shared" si="1"/>
        <v>0.01505090748</v>
      </c>
      <c r="E28" s="50">
        <v>0.9</v>
      </c>
      <c r="F28" s="51">
        <f t="shared" si="2"/>
        <v>0.01354581673</v>
      </c>
      <c r="G28" s="52">
        <f>($F28/$F$57)*'US National Model'!$C$13*1000</f>
        <v>176.8932349</v>
      </c>
      <c r="H28" s="52">
        <f>($F28/$F$57)*'US National Model'!$C$16*1000</f>
        <v>70.75729398</v>
      </c>
      <c r="I28" s="52">
        <f>($F28/$F$57)*'US National Model'!$C$19*1000</f>
        <v>1.06135941</v>
      </c>
      <c r="J28" s="31">
        <f>($F28/$F$57)*'US National Model'!$C$21*1000</f>
        <v>2.122718819</v>
      </c>
    </row>
    <row r="29" ht="15.0" customHeight="1">
      <c r="A29" s="3"/>
      <c r="B29" s="10" t="s">
        <v>231</v>
      </c>
      <c r="C29" s="40">
        <v>4.6</v>
      </c>
      <c r="D29" s="43">
        <f t="shared" si="1"/>
        <v>0.01357532832</v>
      </c>
      <c r="E29" s="44">
        <v>0.95</v>
      </c>
      <c r="F29" s="45">
        <f t="shared" si="2"/>
        <v>0.0128965619</v>
      </c>
      <c r="G29" s="47">
        <f>($F29/$F$57)*'US National Model'!$C$13*1000</f>
        <v>168.4146921</v>
      </c>
      <c r="H29" s="47">
        <f>($F29/$F$57)*'US National Model'!$C$16*1000</f>
        <v>67.36587684</v>
      </c>
      <c r="I29" s="47">
        <f>($F29/$F$57)*'US National Model'!$C$19*1000</f>
        <v>1.010488153</v>
      </c>
      <c r="J29" s="28">
        <f>($F29/$F$57)*'US National Model'!$C$21*1000</f>
        <v>2.020976305</v>
      </c>
    </row>
    <row r="30" ht="15.0" customHeight="1">
      <c r="A30" s="3"/>
      <c r="B30" s="22" t="s">
        <v>232</v>
      </c>
      <c r="C30" s="48">
        <v>4.6</v>
      </c>
      <c r="D30" s="49">
        <f t="shared" si="1"/>
        <v>0.01357532832</v>
      </c>
      <c r="E30" s="50">
        <v>0.95</v>
      </c>
      <c r="F30" s="51">
        <f t="shared" si="2"/>
        <v>0.0128965619</v>
      </c>
      <c r="G30" s="52">
        <f>($F30/$F$57)*'US National Model'!$C$13*1000</f>
        <v>168.4146921</v>
      </c>
      <c r="H30" s="52">
        <f>($F30/$F$57)*'US National Model'!$C$16*1000</f>
        <v>67.36587684</v>
      </c>
      <c r="I30" s="52">
        <f>($F30/$F$57)*'US National Model'!$C$19*1000</f>
        <v>1.010488153</v>
      </c>
      <c r="J30" s="31">
        <f>($F30/$F$57)*'US National Model'!$C$21*1000</f>
        <v>2.020976305</v>
      </c>
    </row>
    <row r="31" ht="15.0" customHeight="1">
      <c r="A31" s="3"/>
      <c r="B31" s="10" t="s">
        <v>233</v>
      </c>
      <c r="C31" s="40">
        <v>4.2</v>
      </c>
      <c r="D31" s="43">
        <f t="shared" si="1"/>
        <v>0.01239486498</v>
      </c>
      <c r="E31" s="44">
        <v>0.95</v>
      </c>
      <c r="F31" s="45">
        <f t="shared" si="2"/>
        <v>0.01177512174</v>
      </c>
      <c r="G31" s="47">
        <f>($F31/$F$57)*'US National Model'!$C$13*1000</f>
        <v>153.7699363</v>
      </c>
      <c r="H31" s="47">
        <f>($F31/$F$57)*'US National Model'!$C$16*1000</f>
        <v>61.5079745</v>
      </c>
      <c r="I31" s="47">
        <f>($F31/$F$57)*'US National Model'!$C$19*1000</f>
        <v>0.9226196176</v>
      </c>
      <c r="J31" s="28">
        <f>($F31/$F$57)*'US National Model'!$C$21*1000</f>
        <v>1.845239235</v>
      </c>
    </row>
    <row r="32" ht="15.0" customHeight="1">
      <c r="A32" s="3"/>
      <c r="B32" s="22" t="s">
        <v>234</v>
      </c>
      <c r="C32" s="48">
        <v>4.1</v>
      </c>
      <c r="D32" s="49">
        <f t="shared" si="1"/>
        <v>0.01209974915</v>
      </c>
      <c r="E32" s="50">
        <v>0.88</v>
      </c>
      <c r="F32" s="51">
        <f t="shared" si="2"/>
        <v>0.01064777925</v>
      </c>
      <c r="G32" s="52">
        <f>($F32/$F$57)*'US National Model'!$C$13*1000</f>
        <v>139.0481028</v>
      </c>
      <c r="H32" s="52">
        <f>($F32/$F$57)*'US National Model'!$C$16*1000</f>
        <v>55.61924111</v>
      </c>
      <c r="I32" s="52">
        <f>($F32/$F$57)*'US National Model'!$C$19*1000</f>
        <v>0.8342886166</v>
      </c>
      <c r="J32" s="31">
        <f>($F32/$F$57)*'US National Model'!$C$21*1000</f>
        <v>1.668577233</v>
      </c>
    </row>
    <row r="33" ht="15.0" customHeight="1">
      <c r="A33" s="3"/>
      <c r="B33" s="10" t="s">
        <v>235</v>
      </c>
      <c r="C33" s="40">
        <v>3.6</v>
      </c>
      <c r="D33" s="43">
        <f t="shared" si="1"/>
        <v>0.01062416999</v>
      </c>
      <c r="E33" s="44">
        <v>1.2</v>
      </c>
      <c r="F33" s="45">
        <f t="shared" si="2"/>
        <v>0.01274900398</v>
      </c>
      <c r="G33" s="47">
        <f>($F33/$F$57)*'US National Model'!$C$13*1000</f>
        <v>166.4877505</v>
      </c>
      <c r="H33" s="47">
        <f>($F33/$F$57)*'US National Model'!$C$16*1000</f>
        <v>66.59510022</v>
      </c>
      <c r="I33" s="47">
        <f>($F33/$F$57)*'US National Model'!$C$19*1000</f>
        <v>0.9989265032</v>
      </c>
      <c r="J33" s="28">
        <f>($F33/$F$57)*'US National Model'!$C$21*1000</f>
        <v>1.997853006</v>
      </c>
    </row>
    <row r="34" ht="15.0" customHeight="1">
      <c r="A34" s="3"/>
      <c r="B34" s="22" t="s">
        <v>236</v>
      </c>
      <c r="C34" s="48">
        <v>3.5</v>
      </c>
      <c r="D34" s="49">
        <f t="shared" si="1"/>
        <v>0.01032905415</v>
      </c>
      <c r="E34" s="50">
        <v>0.7</v>
      </c>
      <c r="F34" s="51">
        <f t="shared" si="2"/>
        <v>0.007230337908</v>
      </c>
      <c r="G34" s="52">
        <f>($F34/$F$57)*'US National Model'!$C$13*1000</f>
        <v>94.4201363</v>
      </c>
      <c r="H34" s="52">
        <f>($F34/$F$57)*'US National Model'!$C$16*1000</f>
        <v>37.76805452</v>
      </c>
      <c r="I34" s="52">
        <f>($F34/$F$57)*'US National Model'!$C$19*1000</f>
        <v>0.5665208178</v>
      </c>
      <c r="J34" s="31">
        <f>($F34/$F$57)*'US National Model'!$C$21*1000</f>
        <v>1.133041636</v>
      </c>
    </row>
    <row r="35" ht="15.0" customHeight="1">
      <c r="A35" s="3"/>
      <c r="B35" s="10" t="s">
        <v>237</v>
      </c>
      <c r="C35" s="40">
        <v>3.2</v>
      </c>
      <c r="D35" s="43">
        <f t="shared" si="1"/>
        <v>0.009443706655</v>
      </c>
      <c r="E35" s="44">
        <v>0.98</v>
      </c>
      <c r="F35" s="45">
        <f t="shared" si="2"/>
        <v>0.009254832522</v>
      </c>
      <c r="G35" s="47">
        <f>($F35/$F$57)*'US National Model'!$C$13*1000</f>
        <v>120.8577745</v>
      </c>
      <c r="H35" s="47">
        <f>($F35/$F$57)*'US National Model'!$C$16*1000</f>
        <v>48.34310979</v>
      </c>
      <c r="I35" s="47">
        <f>($F35/$F$57)*'US National Model'!$C$19*1000</f>
        <v>0.7251466468</v>
      </c>
      <c r="J35" s="28">
        <f>($F35/$F$57)*'US National Model'!$C$21*1000</f>
        <v>1.450293294</v>
      </c>
    </row>
    <row r="36" ht="15.0" customHeight="1">
      <c r="A36" s="3"/>
      <c r="B36" s="22" t="s">
        <v>238</v>
      </c>
      <c r="C36" s="48">
        <v>3.2</v>
      </c>
      <c r="D36" s="49">
        <f t="shared" si="1"/>
        <v>0.009443706655</v>
      </c>
      <c r="E36" s="50">
        <v>0.8</v>
      </c>
      <c r="F36" s="51">
        <f t="shared" si="2"/>
        <v>0.007554965324</v>
      </c>
      <c r="G36" s="52">
        <f>($F36/$F$57)*'US National Model'!$C$13*1000</f>
        <v>98.65940773</v>
      </c>
      <c r="H36" s="52">
        <f>($F36/$F$57)*'US National Model'!$C$16*1000</f>
        <v>39.46376309</v>
      </c>
      <c r="I36" s="52">
        <f>($F36/$F$57)*'US National Model'!$C$19*1000</f>
        <v>0.5919564464</v>
      </c>
      <c r="J36" s="31">
        <f>($F36/$F$57)*'US National Model'!$C$21*1000</f>
        <v>1.183912893</v>
      </c>
    </row>
    <row r="37" ht="15.0" customHeight="1">
      <c r="A37" s="3"/>
      <c r="B37" s="10" t="s">
        <v>239</v>
      </c>
      <c r="C37" s="40">
        <v>3.1</v>
      </c>
      <c r="D37" s="43">
        <f t="shared" si="1"/>
        <v>0.009148590822</v>
      </c>
      <c r="E37" s="44">
        <v>0.88</v>
      </c>
      <c r="F37" s="45">
        <f t="shared" si="2"/>
        <v>0.008050759923</v>
      </c>
      <c r="G37" s="47">
        <f>($F37/$F$57)*'US National Model'!$C$13*1000</f>
        <v>105.1339314</v>
      </c>
      <c r="H37" s="47">
        <f>($F37/$F$57)*'US National Model'!$C$16*1000</f>
        <v>42.05357254</v>
      </c>
      <c r="I37" s="47">
        <f>($F37/$F$57)*'US National Model'!$C$19*1000</f>
        <v>0.6308035882</v>
      </c>
      <c r="J37" s="28">
        <f>($F37/$F$57)*'US National Model'!$C$21*1000</f>
        <v>1.261607176</v>
      </c>
    </row>
    <row r="38" ht="15.0" customHeight="1">
      <c r="A38" s="3"/>
      <c r="B38" s="22" t="s">
        <v>240</v>
      </c>
      <c r="C38" s="48">
        <v>2.9</v>
      </c>
      <c r="D38" s="49">
        <f t="shared" si="1"/>
        <v>0.008558359156</v>
      </c>
      <c r="E38" s="50">
        <v>0.9</v>
      </c>
      <c r="F38" s="51">
        <f t="shared" si="2"/>
        <v>0.00770252324</v>
      </c>
      <c r="G38" s="52">
        <f>($F38/$F$57)*'US National Model'!$C$13*1000</f>
        <v>100.5863493</v>
      </c>
      <c r="H38" s="52">
        <f>($F38/$F$57)*'US National Model'!$C$16*1000</f>
        <v>40.23453971</v>
      </c>
      <c r="I38" s="52">
        <f>($F38/$F$57)*'US National Model'!$C$19*1000</f>
        <v>0.6035180957</v>
      </c>
      <c r="J38" s="31">
        <f>($F38/$F$57)*'US National Model'!$C$21*1000</f>
        <v>1.207036191</v>
      </c>
    </row>
    <row r="39" ht="15.0" customHeight="1">
      <c r="A39" s="3"/>
      <c r="B39" s="10" t="s">
        <v>241</v>
      </c>
      <c r="C39" s="40">
        <v>2.9</v>
      </c>
      <c r="D39" s="43">
        <f t="shared" si="1"/>
        <v>0.008558359156</v>
      </c>
      <c r="E39" s="44">
        <v>0.92</v>
      </c>
      <c r="F39" s="45">
        <f t="shared" si="2"/>
        <v>0.007873690423</v>
      </c>
      <c r="G39" s="47">
        <f>($F39/$F$57)*'US National Model'!$C$13*1000</f>
        <v>102.8216015</v>
      </c>
      <c r="H39" s="47">
        <f>($F39/$F$57)*'US National Model'!$C$16*1000</f>
        <v>41.1286406</v>
      </c>
      <c r="I39" s="47">
        <f>($F39/$F$57)*'US National Model'!$C$19*1000</f>
        <v>0.6169296089</v>
      </c>
      <c r="J39" s="28">
        <f>($F39/$F$57)*'US National Model'!$C$21*1000</f>
        <v>1.233859218</v>
      </c>
    </row>
    <row r="40" ht="15.0" customHeight="1">
      <c r="A40" s="3"/>
      <c r="B40" s="22" t="s">
        <v>242</v>
      </c>
      <c r="C40" s="48">
        <v>2.1</v>
      </c>
      <c r="D40" s="49">
        <f t="shared" si="1"/>
        <v>0.006197432492</v>
      </c>
      <c r="E40" s="50">
        <v>0.88</v>
      </c>
      <c r="F40" s="51">
        <f t="shared" si="2"/>
        <v>0.005453740593</v>
      </c>
      <c r="G40" s="52">
        <f>($F40/$F$57)*'US National Model'!$C$13*1000</f>
        <v>71.21975995</v>
      </c>
      <c r="H40" s="52">
        <f>($F40/$F$57)*'US National Model'!$C$16*1000</f>
        <v>28.48790398</v>
      </c>
      <c r="I40" s="52">
        <f>($F40/$F$57)*'US National Model'!$C$19*1000</f>
        <v>0.4273185597</v>
      </c>
      <c r="J40" s="31">
        <f>($F40/$F$57)*'US National Model'!$C$21*1000</f>
        <v>0.8546371194</v>
      </c>
    </row>
    <row r="41" ht="15.0" customHeight="1">
      <c r="A41" s="3"/>
      <c r="B41" s="10" t="s">
        <v>243</v>
      </c>
      <c r="C41" s="40">
        <v>2.0</v>
      </c>
      <c r="D41" s="43">
        <f t="shared" si="1"/>
        <v>0.005902316659</v>
      </c>
      <c r="E41" s="44">
        <v>0.98</v>
      </c>
      <c r="F41" s="45">
        <f t="shared" si="2"/>
        <v>0.005784270326</v>
      </c>
      <c r="G41" s="47">
        <f>($F41/$F$57)*'US National Model'!$C$13*1000</f>
        <v>75.53610904</v>
      </c>
      <c r="H41" s="47">
        <f>($F41/$F$57)*'US National Model'!$C$16*1000</f>
        <v>30.21444362</v>
      </c>
      <c r="I41" s="47">
        <f>($F41/$F$57)*'US National Model'!$C$19*1000</f>
        <v>0.4532166542</v>
      </c>
      <c r="J41" s="28">
        <f>($F41/$F$57)*'US National Model'!$C$21*1000</f>
        <v>0.9064333085</v>
      </c>
    </row>
    <row r="42" ht="15.0" customHeight="1">
      <c r="A42" s="3"/>
      <c r="B42" s="22" t="s">
        <v>244</v>
      </c>
      <c r="C42" s="48">
        <v>2.0</v>
      </c>
      <c r="D42" s="49">
        <f t="shared" si="1"/>
        <v>0.005902316659</v>
      </c>
      <c r="E42" s="50">
        <v>0.75</v>
      </c>
      <c r="F42" s="51">
        <f t="shared" si="2"/>
        <v>0.004426737494</v>
      </c>
      <c r="G42" s="52">
        <f>($F42/$F$57)*'US National Model'!$C$13*1000</f>
        <v>57.80824672</v>
      </c>
      <c r="H42" s="52">
        <f>($F42/$F$57)*'US National Model'!$C$16*1000</f>
        <v>23.12329869</v>
      </c>
      <c r="I42" s="52">
        <f>($F42/$F$57)*'US National Model'!$C$19*1000</f>
        <v>0.3468494803</v>
      </c>
      <c r="J42" s="31">
        <f>($F42/$F$57)*'US National Model'!$C$21*1000</f>
        <v>0.6936989606</v>
      </c>
    </row>
    <row r="43" ht="15.0" customHeight="1">
      <c r="A43" s="3"/>
      <c r="B43" s="10" t="s">
        <v>245</v>
      </c>
      <c r="C43" s="40">
        <v>1.8</v>
      </c>
      <c r="D43" s="43">
        <f t="shared" si="1"/>
        <v>0.005312084993</v>
      </c>
      <c r="E43" s="44">
        <v>1.15</v>
      </c>
      <c r="F43" s="45">
        <f t="shared" si="2"/>
        <v>0.006108897742</v>
      </c>
      <c r="G43" s="47">
        <f>($F43/$F$57)*'US National Model'!$C$13*1000</f>
        <v>79.77538047</v>
      </c>
      <c r="H43" s="47">
        <f>($F43/$F$57)*'US National Model'!$C$16*1000</f>
        <v>31.91015219</v>
      </c>
      <c r="I43" s="47">
        <f>($F43/$F$57)*'US National Model'!$C$19*1000</f>
        <v>0.4786522828</v>
      </c>
      <c r="J43" s="28">
        <f>($F43/$F$57)*'US National Model'!$C$21*1000</f>
        <v>0.9573045656</v>
      </c>
    </row>
    <row r="44" ht="15.0" customHeight="1">
      <c r="A44" s="3"/>
      <c r="B44" s="22" t="s">
        <v>246</v>
      </c>
      <c r="C44" s="48">
        <v>1.4</v>
      </c>
      <c r="D44" s="49">
        <f t="shared" si="1"/>
        <v>0.004131621662</v>
      </c>
      <c r="E44" s="50">
        <v>1.0</v>
      </c>
      <c r="F44" s="51">
        <f t="shared" si="2"/>
        <v>0.004131621662</v>
      </c>
      <c r="G44" s="52">
        <f>($F44/$F$57)*'US National Model'!$C$13*1000</f>
        <v>53.9543636</v>
      </c>
      <c r="H44" s="52">
        <f>($F44/$F$57)*'US National Model'!$C$16*1000</f>
        <v>21.58174544</v>
      </c>
      <c r="I44" s="52">
        <f>($F44/$F$57)*'US National Model'!$C$19*1000</f>
        <v>0.3237261816</v>
      </c>
      <c r="J44" s="31">
        <f>($F44/$F$57)*'US National Model'!$C$21*1000</f>
        <v>0.6474523632</v>
      </c>
    </row>
    <row r="45" ht="15.0" customHeight="1">
      <c r="A45" s="3"/>
      <c r="B45" s="10" t="s">
        <v>247</v>
      </c>
      <c r="C45" s="40">
        <v>1.4</v>
      </c>
      <c r="D45" s="43">
        <f t="shared" si="1"/>
        <v>0.004131621662</v>
      </c>
      <c r="E45" s="44">
        <v>1.05</v>
      </c>
      <c r="F45" s="45">
        <f t="shared" si="2"/>
        <v>0.004338202745</v>
      </c>
      <c r="G45" s="47">
        <f>($F45/$F$57)*'US National Model'!$C$13*1000</f>
        <v>56.65208178</v>
      </c>
      <c r="H45" s="47">
        <f>($F45/$F$57)*'US National Model'!$C$16*1000</f>
        <v>22.66083271</v>
      </c>
      <c r="I45" s="47">
        <f>($F45/$F$57)*'US National Model'!$C$19*1000</f>
        <v>0.3399124907</v>
      </c>
      <c r="J45" s="28">
        <f>($F45/$F$57)*'US National Model'!$C$21*1000</f>
        <v>0.6798249814</v>
      </c>
    </row>
    <row r="46" ht="15.0" customHeight="1">
      <c r="A46" s="3"/>
      <c r="B46" s="22" t="s">
        <v>248</v>
      </c>
      <c r="C46" s="48">
        <v>1.4</v>
      </c>
      <c r="D46" s="49">
        <f t="shared" si="1"/>
        <v>0.004131621662</v>
      </c>
      <c r="E46" s="50">
        <v>1.1</v>
      </c>
      <c r="F46" s="51">
        <f t="shared" si="2"/>
        <v>0.004544783828</v>
      </c>
      <c r="G46" s="52">
        <f>($F46/$F$57)*'US National Model'!$C$13*1000</f>
        <v>59.34979996</v>
      </c>
      <c r="H46" s="52">
        <f>($F46/$F$57)*'US National Model'!$C$16*1000</f>
        <v>23.73991998</v>
      </c>
      <c r="I46" s="52">
        <f>($F46/$F$57)*'US National Model'!$C$19*1000</f>
        <v>0.3560987998</v>
      </c>
      <c r="J46" s="31">
        <f>($F46/$F$57)*'US National Model'!$C$21*1000</f>
        <v>0.7121975995</v>
      </c>
    </row>
    <row r="47" ht="15.0" customHeight="1">
      <c r="A47" s="3"/>
      <c r="B47" s="10" t="s">
        <v>249</v>
      </c>
      <c r="C47" s="40">
        <v>1.1</v>
      </c>
      <c r="D47" s="43">
        <f t="shared" si="1"/>
        <v>0.003246274163</v>
      </c>
      <c r="E47" s="44">
        <v>1.0</v>
      </c>
      <c r="F47" s="45">
        <f t="shared" si="2"/>
        <v>0.003246274163</v>
      </c>
      <c r="G47" s="47">
        <f>($F47/$F$57)*'US National Model'!$C$13*1000</f>
        <v>42.39271426</v>
      </c>
      <c r="H47" s="47">
        <f>($F47/$F$57)*'US National Model'!$C$16*1000</f>
        <v>16.9570857</v>
      </c>
      <c r="I47" s="47">
        <f>($F47/$F$57)*'US National Model'!$C$19*1000</f>
        <v>0.2543562855</v>
      </c>
      <c r="J47" s="28">
        <f>($F47/$F$57)*'US National Model'!$C$21*1000</f>
        <v>0.5087125711</v>
      </c>
    </row>
    <row r="48" ht="15.0" customHeight="1">
      <c r="A48" s="3"/>
      <c r="B48" s="22" t="s">
        <v>250</v>
      </c>
      <c r="C48" s="48">
        <v>1.1</v>
      </c>
      <c r="D48" s="49">
        <f t="shared" si="1"/>
        <v>0.003246274163</v>
      </c>
      <c r="E48" s="50">
        <v>1.1</v>
      </c>
      <c r="F48" s="51">
        <f t="shared" si="2"/>
        <v>0.003570901579</v>
      </c>
      <c r="G48" s="52">
        <f>($F48/$F$57)*'US National Model'!$C$13*1000</f>
        <v>46.63198568</v>
      </c>
      <c r="H48" s="52">
        <f>($F48/$F$57)*'US National Model'!$C$16*1000</f>
        <v>18.65279427</v>
      </c>
      <c r="I48" s="52">
        <f>($F48/$F$57)*'US National Model'!$C$19*1000</f>
        <v>0.2797919141</v>
      </c>
      <c r="J48" s="31">
        <f>($F48/$F$57)*'US National Model'!$C$21*1000</f>
        <v>0.5595838282</v>
      </c>
    </row>
    <row r="49" ht="15.0" customHeight="1">
      <c r="A49" s="3"/>
      <c r="B49" s="10" t="s">
        <v>251</v>
      </c>
      <c r="C49" s="40">
        <v>1.0</v>
      </c>
      <c r="D49" s="43">
        <f t="shared" si="1"/>
        <v>0.00295115833</v>
      </c>
      <c r="E49" s="44">
        <v>1.15</v>
      </c>
      <c r="F49" s="45">
        <f t="shared" si="2"/>
        <v>0.003393832079</v>
      </c>
      <c r="G49" s="47">
        <f>($F49/$F$57)*'US National Model'!$C$13*1000</f>
        <v>44.31965581</v>
      </c>
      <c r="H49" s="47">
        <f>($F49/$F$57)*'US National Model'!$C$16*1000</f>
        <v>17.72786233</v>
      </c>
      <c r="I49" s="47">
        <f>($F49/$F$57)*'US National Model'!$C$19*1000</f>
        <v>0.2659179349</v>
      </c>
      <c r="J49" s="28">
        <f>($F49/$F$57)*'US National Model'!$C$21*1000</f>
        <v>0.5318358698</v>
      </c>
    </row>
    <row r="50" ht="15.0" customHeight="1">
      <c r="A50" s="3"/>
      <c r="B50" s="22" t="s">
        <v>252</v>
      </c>
      <c r="C50" s="48">
        <v>0.92</v>
      </c>
      <c r="D50" s="49">
        <f t="shared" si="1"/>
        <v>0.002715065663</v>
      </c>
      <c r="E50" s="50">
        <v>0.95</v>
      </c>
      <c r="F50" s="51">
        <f t="shared" si="2"/>
        <v>0.00257931238</v>
      </c>
      <c r="G50" s="52">
        <f>($F50/$F$57)*'US National Model'!$C$13*1000</f>
        <v>33.68293842</v>
      </c>
      <c r="H50" s="52">
        <f>($F50/$F$57)*'US National Model'!$C$16*1000</f>
        <v>13.47317537</v>
      </c>
      <c r="I50" s="52">
        <f>($F50/$F$57)*'US National Model'!$C$19*1000</f>
        <v>0.2020976305</v>
      </c>
      <c r="J50" s="31">
        <f>($F50/$F$57)*'US National Model'!$C$21*1000</f>
        <v>0.404195261</v>
      </c>
    </row>
    <row r="51" ht="15.0" customHeight="1">
      <c r="A51" s="3"/>
      <c r="B51" s="10" t="s">
        <v>253</v>
      </c>
      <c r="C51" s="40">
        <v>0.79</v>
      </c>
      <c r="D51" s="43">
        <f t="shared" si="1"/>
        <v>0.00233141508</v>
      </c>
      <c r="E51" s="44">
        <v>0.98</v>
      </c>
      <c r="F51" s="45">
        <f t="shared" si="2"/>
        <v>0.002284786779</v>
      </c>
      <c r="G51" s="47">
        <f>($F51/$F$57)*'US National Model'!$C$13*1000</f>
        <v>29.83676307</v>
      </c>
      <c r="H51" s="47">
        <f>($F51/$F$57)*'US National Model'!$C$16*1000</f>
        <v>11.93470523</v>
      </c>
      <c r="I51" s="47">
        <f>($F51/$F$57)*'US National Model'!$C$19*1000</f>
        <v>0.1790205784</v>
      </c>
      <c r="J51" s="28">
        <f>($F51/$F$57)*'US National Model'!$C$21*1000</f>
        <v>0.3580411569</v>
      </c>
    </row>
    <row r="52" ht="15.0" customHeight="1">
      <c r="A52" s="3"/>
      <c r="B52" s="22" t="s">
        <v>254</v>
      </c>
      <c r="C52" s="48">
        <v>0.73</v>
      </c>
      <c r="D52" s="49">
        <f t="shared" si="1"/>
        <v>0.002154345581</v>
      </c>
      <c r="E52" s="50">
        <v>1.35</v>
      </c>
      <c r="F52" s="51">
        <f t="shared" si="2"/>
        <v>0.002908366534</v>
      </c>
      <c r="G52" s="52">
        <f>($F52/$F$57)*'US National Model'!$C$13*1000</f>
        <v>37.98001809</v>
      </c>
      <c r="H52" s="52">
        <f>($F52/$F$57)*'US National Model'!$C$16*1000</f>
        <v>15.19200724</v>
      </c>
      <c r="I52" s="52">
        <f>($F52/$F$57)*'US National Model'!$C$19*1000</f>
        <v>0.2278801086</v>
      </c>
      <c r="J52" s="31">
        <f>($F52/$F$57)*'US National Model'!$C$21*1000</f>
        <v>0.4557602171</v>
      </c>
    </row>
    <row r="53" ht="15.0" customHeight="1">
      <c r="A53" s="3"/>
      <c r="B53" s="10" t="s">
        <v>255</v>
      </c>
      <c r="C53" s="40">
        <v>0.65</v>
      </c>
      <c r="D53" s="43">
        <f t="shared" si="1"/>
        <v>0.001918252914</v>
      </c>
      <c r="E53" s="44">
        <v>1.15</v>
      </c>
      <c r="F53" s="45">
        <f t="shared" si="2"/>
        <v>0.002205990851</v>
      </c>
      <c r="G53" s="47">
        <f>($F53/$F$57)*'US National Model'!$C$13*1000</f>
        <v>28.80777628</v>
      </c>
      <c r="H53" s="47">
        <f>($F53/$F$57)*'US National Model'!$C$16*1000</f>
        <v>11.52311051</v>
      </c>
      <c r="I53" s="47">
        <f>($F53/$F$57)*'US National Model'!$C$19*1000</f>
        <v>0.1728466577</v>
      </c>
      <c r="J53" s="28">
        <f>($F53/$F$57)*'US National Model'!$C$21*1000</f>
        <v>0.3456933154</v>
      </c>
    </row>
    <row r="54" ht="15.0" customHeight="1">
      <c r="A54" s="3"/>
      <c r="B54" s="22" t="s">
        <v>256</v>
      </c>
      <c r="C54" s="48">
        <v>0.58</v>
      </c>
      <c r="D54" s="49">
        <f t="shared" si="1"/>
        <v>0.001711671831</v>
      </c>
      <c r="E54" s="50">
        <v>1.05</v>
      </c>
      <c r="F54" s="51">
        <f t="shared" si="2"/>
        <v>0.001797255423</v>
      </c>
      <c r="G54" s="52">
        <f>($F54/$F$57)*'US National Model'!$C$13*1000</f>
        <v>23.47014817</v>
      </c>
      <c r="H54" s="52">
        <f>($F54/$F$57)*'US National Model'!$C$16*1000</f>
        <v>9.388059267</v>
      </c>
      <c r="I54" s="52">
        <f>($F54/$F$57)*'US National Model'!$C$19*1000</f>
        <v>0.140820889</v>
      </c>
      <c r="J54" s="31">
        <f>($F54/$F$57)*'US National Model'!$C$21*1000</f>
        <v>0.281641778</v>
      </c>
    </row>
    <row r="55" ht="15.0" customHeight="1">
      <c r="A55" s="3"/>
      <c r="B55" s="10" t="s">
        <v>257</v>
      </c>
      <c r="C55" s="40">
        <v>0.68</v>
      </c>
      <c r="D55" s="43">
        <f t="shared" si="1"/>
        <v>0.002006787664</v>
      </c>
      <c r="E55" s="44">
        <v>1.9</v>
      </c>
      <c r="F55" s="45">
        <f t="shared" si="2"/>
        <v>0.003812896562</v>
      </c>
      <c r="G55" s="47">
        <f>($F55/$F$57)*'US National Model'!$C$13*1000</f>
        <v>49.79216984</v>
      </c>
      <c r="H55" s="47">
        <f>($F55/$F$57)*'US National Model'!$C$16*1000</f>
        <v>19.91686793</v>
      </c>
      <c r="I55" s="47">
        <f>($F55/$F$57)*'US National Model'!$C$19*1000</f>
        <v>0.298753019</v>
      </c>
      <c r="J55" s="28">
        <f>($F55/$F$57)*'US National Model'!$C$21*1000</f>
        <v>0.597506038</v>
      </c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0" customHeight="1">
      <c r="A57" s="3"/>
      <c r="B57" s="53" t="s">
        <v>258</v>
      </c>
      <c r="C57" s="3"/>
      <c r="D57" s="3"/>
      <c r="E57" s="3"/>
      <c r="F57" s="54">
        <f>SUM(F5:F55)</f>
        <v>0.992427918</v>
      </c>
      <c r="G57" s="3"/>
      <c r="H57" s="3"/>
      <c r="I57" s="3"/>
      <c r="J57" s="3"/>
    </row>
    <row r="58" ht="15.0" customHeight="1">
      <c r="A58" s="3"/>
      <c r="B58" s="37" t="s">
        <v>259</v>
      </c>
      <c r="C58" s="55"/>
      <c r="D58" s="55"/>
      <c r="E58" s="55"/>
      <c r="F58" s="55"/>
      <c r="G58" s="29">
        <f t="shared" ref="G58:J58" si="3">SUM(G5:G55)</f>
        <v>12960</v>
      </c>
      <c r="H58" s="29">
        <f t="shared" si="3"/>
        <v>5184</v>
      </c>
      <c r="I58" s="29">
        <f t="shared" si="3"/>
        <v>77.76</v>
      </c>
      <c r="J58" s="29">
        <f t="shared" si="3"/>
        <v>155.52</v>
      </c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8.0"/>
    <col customWidth="1" min="3" max="4" width="16.0"/>
    <col customWidth="1" min="5" max="5" width="45.0"/>
    <col customWidth="1" min="6" max="26" width="8.71"/>
  </cols>
  <sheetData>
    <row r="1" ht="25.5" customHeight="1">
      <c r="A1" s="1" t="s">
        <v>196</v>
      </c>
    </row>
    <row r="2" ht="15.0" customHeight="1">
      <c r="A2" s="2" t="s">
        <v>197</v>
      </c>
    </row>
    <row r="3">
      <c r="A3" s="3"/>
      <c r="B3" s="3"/>
      <c r="C3" s="3"/>
      <c r="D3" s="3"/>
      <c r="E3" s="3"/>
    </row>
    <row r="4" ht="18.0" customHeight="1">
      <c r="A4" s="7"/>
      <c r="B4" s="7" t="s">
        <v>161</v>
      </c>
      <c r="C4" s="7" t="s">
        <v>198</v>
      </c>
      <c r="D4" s="7" t="s">
        <v>199</v>
      </c>
      <c r="E4" s="7" t="s">
        <v>163</v>
      </c>
    </row>
    <row r="5" ht="21.75" customHeight="1">
      <c r="A5" s="3"/>
      <c r="B5" s="10" t="s">
        <v>200</v>
      </c>
      <c r="C5" s="35">
        <f>Assumptions!$C$6</f>
        <v>372</v>
      </c>
      <c r="D5" s="35">
        <f>C5*Assumptions!$C$7</f>
        <v>271.56</v>
      </c>
      <c r="E5" s="13" t="s">
        <v>201</v>
      </c>
    </row>
    <row r="6" ht="15.0" customHeight="1">
      <c r="A6" s="3"/>
      <c r="B6" s="10" t="s">
        <v>166</v>
      </c>
      <c r="C6" s="36">
        <f>Assumptions!$C$9</f>
        <v>0.17</v>
      </c>
      <c r="D6" s="36">
        <f>C6</f>
        <v>0.17</v>
      </c>
      <c r="E6" s="13" t="s">
        <v>202</v>
      </c>
    </row>
    <row r="7" ht="15.0" customHeight="1">
      <c r="A7" s="3"/>
      <c r="B7" s="37" t="s">
        <v>203</v>
      </c>
      <c r="C7" s="38">
        <f t="shared" ref="C7:D7" si="1">C5*C6</f>
        <v>63.24</v>
      </c>
      <c r="D7" s="38">
        <f t="shared" si="1"/>
        <v>46.1652</v>
      </c>
      <c r="E7" s="39" t="s">
        <v>169</v>
      </c>
    </row>
    <row r="8">
      <c r="A8" s="3"/>
      <c r="B8" s="3"/>
      <c r="C8" s="3"/>
      <c r="D8" s="3"/>
      <c r="E8" s="3"/>
    </row>
    <row r="9" ht="15.0" customHeight="1">
      <c r="A9" s="3"/>
      <c r="B9" s="10" t="s">
        <v>170</v>
      </c>
      <c r="C9" s="36">
        <f>Assumptions!$C$10</f>
        <v>0.08</v>
      </c>
      <c r="D9" s="36">
        <f>C9</f>
        <v>0.08</v>
      </c>
      <c r="E9" s="13" t="s">
        <v>204</v>
      </c>
    </row>
    <row r="10" ht="21.75" customHeight="1">
      <c r="A10" s="3"/>
      <c r="B10" s="37" t="s">
        <v>205</v>
      </c>
      <c r="C10" s="38">
        <f t="shared" ref="C10:D10" si="2">C7*C9</f>
        <v>5.0592</v>
      </c>
      <c r="D10" s="38">
        <f t="shared" si="2"/>
        <v>3.693216</v>
      </c>
      <c r="E10" s="39" t="s">
        <v>206</v>
      </c>
    </row>
    <row r="11">
      <c r="A11" s="3"/>
      <c r="B11" s="3"/>
      <c r="C11" s="3"/>
      <c r="D11" s="3"/>
      <c r="E11" s="3"/>
    </row>
    <row r="12" ht="15.0" customHeight="1">
      <c r="A12" s="3"/>
      <c r="B12" s="10" t="s">
        <v>178</v>
      </c>
      <c r="C12" s="36">
        <f>Assumptions!$C$11</f>
        <v>0.12</v>
      </c>
      <c r="D12" s="36">
        <f>C12</f>
        <v>0.12</v>
      </c>
      <c r="E12" s="13" t="s">
        <v>207</v>
      </c>
    </row>
    <row r="13" ht="15.0" customHeight="1">
      <c r="A13" s="3"/>
      <c r="B13" s="25" t="s">
        <v>208</v>
      </c>
      <c r="C13" s="41">
        <f t="shared" ref="C13:D13" si="3">C10*C12</f>
        <v>0.607104</v>
      </c>
      <c r="D13" s="41">
        <f t="shared" si="3"/>
        <v>0.44318592</v>
      </c>
      <c r="E13" s="42" t="s">
        <v>209</v>
      </c>
    </row>
    <row r="14">
      <c r="A14" s="3"/>
      <c r="B14" s="3"/>
      <c r="C14" s="3"/>
      <c r="D14" s="3"/>
      <c r="E14" s="3"/>
    </row>
    <row r="15" ht="15.0" customHeight="1">
      <c r="A15" s="3"/>
      <c r="B15" s="10" t="s">
        <v>184</v>
      </c>
      <c r="C15" s="36">
        <f>Assumptions!$C$12</f>
        <v>0.4</v>
      </c>
      <c r="D15" s="36">
        <f>C15</f>
        <v>0.4</v>
      </c>
      <c r="E15" s="13" t="s">
        <v>210</v>
      </c>
    </row>
    <row r="16" ht="15.0" customHeight="1">
      <c r="A16" s="3"/>
      <c r="B16" s="25" t="s">
        <v>211</v>
      </c>
      <c r="C16" s="41">
        <f t="shared" ref="C16:D16" si="4">C13*C15</f>
        <v>0.2428416</v>
      </c>
      <c r="D16" s="41">
        <f t="shared" si="4"/>
        <v>0.177274368</v>
      </c>
      <c r="E16" s="42" t="s">
        <v>187</v>
      </c>
    </row>
    <row r="17">
      <c r="A17" s="3"/>
      <c r="B17" s="3"/>
      <c r="C17" s="3"/>
      <c r="D17" s="3"/>
      <c r="E17" s="3"/>
    </row>
    <row r="18" ht="15.0" customHeight="1">
      <c r="A18" s="3"/>
      <c r="B18" s="10" t="s">
        <v>188</v>
      </c>
      <c r="C18" s="46">
        <f>Assumptions!$C$13</f>
        <v>0.015</v>
      </c>
      <c r="D18" s="46">
        <f>C18</f>
        <v>0.015</v>
      </c>
      <c r="E18" s="13" t="s">
        <v>213</v>
      </c>
    </row>
    <row r="19" ht="15.0" customHeight="1">
      <c r="A19" s="3"/>
      <c r="B19" s="25" t="s">
        <v>214</v>
      </c>
      <c r="C19" s="41">
        <f t="shared" ref="C19:D19" si="5">C16*C18</f>
        <v>0.003642624</v>
      </c>
      <c r="D19" s="41">
        <f t="shared" si="5"/>
        <v>0.00265911552</v>
      </c>
      <c r="E19" s="42" t="s">
        <v>215</v>
      </c>
    </row>
    <row r="20" ht="15.0" customHeight="1">
      <c r="A20" s="3"/>
      <c r="B20" s="10" t="s">
        <v>192</v>
      </c>
      <c r="C20" s="46">
        <f>Assumptions!$C$14</f>
        <v>0.03</v>
      </c>
      <c r="D20" s="46">
        <f>C20</f>
        <v>0.03</v>
      </c>
      <c r="E20" s="13" t="s">
        <v>216</v>
      </c>
    </row>
    <row r="21" ht="15.0" customHeight="1">
      <c r="A21" s="3"/>
      <c r="B21" s="25" t="s">
        <v>217</v>
      </c>
      <c r="C21" s="41">
        <f t="shared" ref="C21:D21" si="6">C16*C20</f>
        <v>0.007285248</v>
      </c>
      <c r="D21" s="41">
        <f t="shared" si="6"/>
        <v>0.00531823104</v>
      </c>
      <c r="E21" s="42" t="s">
        <v>195</v>
      </c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26.0"/>
    <col customWidth="1" min="3" max="3" width="16.0"/>
    <col customWidth="1" min="4" max="4" width="12.0"/>
    <col customWidth="1" min="5" max="10" width="14.0"/>
    <col customWidth="1" min="11" max="26" width="8.71"/>
  </cols>
  <sheetData>
    <row r="1" ht="25.5" customHeight="1">
      <c r="A1" s="1" t="s">
        <v>260</v>
      </c>
    </row>
    <row r="2" ht="15.0" customHeight="1">
      <c r="A2" s="2" t="s">
        <v>261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 ht="31.5" customHeight="1">
      <c r="A4" s="7"/>
      <c r="B4" s="7" t="s">
        <v>262</v>
      </c>
      <c r="C4" s="7" t="s">
        <v>176</v>
      </c>
      <c r="D4" s="7" t="s">
        <v>177</v>
      </c>
      <c r="E4" s="7" t="s">
        <v>179</v>
      </c>
      <c r="F4" s="7" t="s">
        <v>180</v>
      </c>
      <c r="G4" s="7" t="s">
        <v>146</v>
      </c>
      <c r="H4" s="7" t="s">
        <v>147</v>
      </c>
      <c r="I4" s="7" t="s">
        <v>148</v>
      </c>
      <c r="J4" s="7" t="s">
        <v>149</v>
      </c>
    </row>
    <row r="5" ht="15.0" customHeight="1">
      <c r="A5" s="3"/>
      <c r="B5" s="10" t="s">
        <v>150</v>
      </c>
      <c r="C5" s="40">
        <v>15.8</v>
      </c>
      <c r="D5" s="43">
        <f t="shared" ref="D5:D17" si="1">C5/SUM($C$5:$C$17)</f>
        <v>0.3896328081</v>
      </c>
      <c r="E5" s="44">
        <v>0.95</v>
      </c>
      <c r="F5" s="45">
        <f t="shared" ref="F5:F17" si="2">D5*E5</f>
        <v>0.3701511677</v>
      </c>
      <c r="G5" s="47">
        <f>($F5/$F$19)*'Canada National Model'!$D$13*1000</f>
        <v>165.1580807</v>
      </c>
      <c r="H5" s="47">
        <f>($F5/$F$19)*'Canada National Model'!$D$16*1000</f>
        <v>66.06323229</v>
      </c>
      <c r="I5" s="47">
        <f>($F5/$F$19)*'Canada National Model'!$D$19*1000</f>
        <v>0.9909484843</v>
      </c>
      <c r="J5" s="28">
        <f>($F5/$F$19)*'Canada National Model'!$D$21*1000</f>
        <v>1.981896969</v>
      </c>
    </row>
    <row r="6" ht="15.0" customHeight="1">
      <c r="A6" s="3"/>
      <c r="B6" s="22" t="s">
        <v>151</v>
      </c>
      <c r="C6" s="48">
        <v>8.9</v>
      </c>
      <c r="D6" s="49">
        <f t="shared" si="1"/>
        <v>0.2194767083</v>
      </c>
      <c r="E6" s="50">
        <v>1.0</v>
      </c>
      <c r="F6" s="51">
        <f t="shared" si="2"/>
        <v>0.2194767083</v>
      </c>
      <c r="G6" s="52">
        <f>($F6/$F$19)*'Canada National Model'!$D$13*1000</f>
        <v>97.92850888</v>
      </c>
      <c r="H6" s="52">
        <f>($F6/$F$19)*'Canada National Model'!$D$16*1000</f>
        <v>39.17140355</v>
      </c>
      <c r="I6" s="52">
        <f>($F6/$F$19)*'Canada National Model'!$D$19*1000</f>
        <v>0.5875710533</v>
      </c>
      <c r="J6" s="31">
        <f>($F6/$F$19)*'Canada National Model'!$D$21*1000</f>
        <v>1.175142107</v>
      </c>
    </row>
    <row r="7" ht="15.0" customHeight="1">
      <c r="A7" s="3"/>
      <c r="B7" s="10" t="s">
        <v>153</v>
      </c>
      <c r="C7" s="40">
        <v>5.6</v>
      </c>
      <c r="D7" s="43">
        <f t="shared" si="1"/>
        <v>0.1380977041</v>
      </c>
      <c r="E7" s="44">
        <v>1.0</v>
      </c>
      <c r="F7" s="45">
        <f t="shared" si="2"/>
        <v>0.1380977041</v>
      </c>
      <c r="G7" s="47">
        <f>($F7/$F$19)*'Canada National Model'!$D$13*1000</f>
        <v>61.61793817</v>
      </c>
      <c r="H7" s="47">
        <f>($F7/$F$19)*'Canada National Model'!$D$16*1000</f>
        <v>24.64717527</v>
      </c>
      <c r="I7" s="47">
        <f>($F7/$F$19)*'Canada National Model'!$D$19*1000</f>
        <v>0.369707629</v>
      </c>
      <c r="J7" s="28">
        <f>($F7/$F$19)*'Canada National Model'!$D$21*1000</f>
        <v>0.7394152581</v>
      </c>
    </row>
    <row r="8" ht="15.0" customHeight="1">
      <c r="A8" s="3"/>
      <c r="B8" s="22" t="s">
        <v>154</v>
      </c>
      <c r="C8" s="48">
        <v>4.8</v>
      </c>
      <c r="D8" s="49">
        <f t="shared" si="1"/>
        <v>0.1183694607</v>
      </c>
      <c r="E8" s="50">
        <v>0.98</v>
      </c>
      <c r="F8" s="51">
        <f t="shared" si="2"/>
        <v>0.1160020715</v>
      </c>
      <c r="G8" s="52">
        <f>($F8/$F$19)*'Canada National Model'!$D$13*1000</f>
        <v>51.75906807</v>
      </c>
      <c r="H8" s="52">
        <f>($F8/$F$19)*'Canada National Model'!$D$16*1000</f>
        <v>20.70362723</v>
      </c>
      <c r="I8" s="52">
        <f>($F8/$F$19)*'Canada National Model'!$D$19*1000</f>
        <v>0.3105544084</v>
      </c>
      <c r="J8" s="31">
        <f>($F8/$F$19)*'Canada National Model'!$D$21*1000</f>
        <v>0.6211088168</v>
      </c>
    </row>
    <row r="9" ht="15.0" customHeight="1">
      <c r="A9" s="3"/>
      <c r="B9" s="10" t="s">
        <v>155</v>
      </c>
      <c r="C9" s="40">
        <v>1.5</v>
      </c>
      <c r="D9" s="43">
        <f t="shared" si="1"/>
        <v>0.03699045646</v>
      </c>
      <c r="E9" s="44">
        <v>1.05</v>
      </c>
      <c r="F9" s="45">
        <f t="shared" si="2"/>
        <v>0.03883997929</v>
      </c>
      <c r="G9" s="47">
        <f>($F9/$F$19)*'Canada National Model'!$D$13*1000</f>
        <v>17.33004511</v>
      </c>
      <c r="H9" s="47">
        <f>($F9/$F$19)*'Canada National Model'!$D$16*1000</f>
        <v>6.932018045</v>
      </c>
      <c r="I9" s="47">
        <f>($F9/$F$19)*'Canada National Model'!$D$19*1000</f>
        <v>0.1039802707</v>
      </c>
      <c r="J9" s="28">
        <f>($F9/$F$19)*'Canada National Model'!$D$21*1000</f>
        <v>0.2079605413</v>
      </c>
    </row>
    <row r="10" ht="15.0" customHeight="1">
      <c r="A10" s="3"/>
      <c r="B10" s="22" t="s">
        <v>263</v>
      </c>
      <c r="C10" s="48">
        <v>1.2</v>
      </c>
      <c r="D10" s="49">
        <f t="shared" si="1"/>
        <v>0.02959236517</v>
      </c>
      <c r="E10" s="50">
        <v>1.05</v>
      </c>
      <c r="F10" s="51">
        <f t="shared" si="2"/>
        <v>0.03107198343</v>
      </c>
      <c r="G10" s="52">
        <f>($F10/$F$19)*'Canada National Model'!$D$13*1000</f>
        <v>13.86403609</v>
      </c>
      <c r="H10" s="52">
        <f>($F10/$F$19)*'Canada National Model'!$D$16*1000</f>
        <v>5.545614436</v>
      </c>
      <c r="I10" s="52">
        <f>($F10/$F$19)*'Canada National Model'!$D$19*1000</f>
        <v>0.08318421654</v>
      </c>
      <c r="J10" s="31">
        <f>($F10/$F$19)*'Canada National Model'!$D$21*1000</f>
        <v>0.1663684331</v>
      </c>
    </row>
    <row r="11" ht="15.0" customHeight="1">
      <c r="A11" s="3"/>
      <c r="B11" s="10" t="s">
        <v>264</v>
      </c>
      <c r="C11" s="40">
        <v>1.05</v>
      </c>
      <c r="D11" s="43">
        <f t="shared" si="1"/>
        <v>0.02589331952</v>
      </c>
      <c r="E11" s="44">
        <v>1.1</v>
      </c>
      <c r="F11" s="45">
        <f t="shared" si="2"/>
        <v>0.02848265148</v>
      </c>
      <c r="G11" s="47">
        <f>($F11/$F$19)*'Canada National Model'!$D$13*1000</f>
        <v>12.70869975</v>
      </c>
      <c r="H11" s="47">
        <f>($F11/$F$19)*'Canada National Model'!$D$16*1000</f>
        <v>5.083479899</v>
      </c>
      <c r="I11" s="47">
        <f>($F11/$F$19)*'Canada National Model'!$D$19*1000</f>
        <v>0.07625219849</v>
      </c>
      <c r="J11" s="28">
        <f>($F11/$F$19)*'Canada National Model'!$D$21*1000</f>
        <v>0.152504397</v>
      </c>
    </row>
    <row r="12" ht="15.0" customHeight="1">
      <c r="A12" s="3"/>
      <c r="B12" s="22" t="s">
        <v>265</v>
      </c>
      <c r="C12" s="48">
        <v>0.85</v>
      </c>
      <c r="D12" s="49">
        <f t="shared" si="1"/>
        <v>0.02096125866</v>
      </c>
      <c r="E12" s="50">
        <v>1.08</v>
      </c>
      <c r="F12" s="51">
        <f t="shared" si="2"/>
        <v>0.02263815935</v>
      </c>
      <c r="G12" s="52">
        <f>($F12/$F$19)*'Canada National Model'!$D$13*1000</f>
        <v>10.10094058</v>
      </c>
      <c r="H12" s="52">
        <f>($F12/$F$19)*'Canada National Model'!$D$16*1000</f>
        <v>4.040376232</v>
      </c>
      <c r="I12" s="52">
        <f>($F12/$F$19)*'Canada National Model'!$D$19*1000</f>
        <v>0.06060564348</v>
      </c>
      <c r="J12" s="31">
        <f>($F12/$F$19)*'Canada National Model'!$D$21*1000</f>
        <v>0.121211287</v>
      </c>
    </row>
    <row r="13" ht="15.0" customHeight="1">
      <c r="A13" s="3"/>
      <c r="B13" s="10" t="s">
        <v>266</v>
      </c>
      <c r="C13" s="40">
        <v>0.54</v>
      </c>
      <c r="D13" s="43">
        <f t="shared" si="1"/>
        <v>0.01331656433</v>
      </c>
      <c r="E13" s="44">
        <v>1.25</v>
      </c>
      <c r="F13" s="45">
        <f t="shared" si="2"/>
        <v>0.01664570541</v>
      </c>
      <c r="G13" s="47">
        <f>($F13/$F$19)*'Canada National Model'!$D$13*1000</f>
        <v>7.427162191</v>
      </c>
      <c r="H13" s="47">
        <f>($F13/$F$19)*'Canada National Model'!$D$16*1000</f>
        <v>2.970864876</v>
      </c>
      <c r="I13" s="47">
        <f>($F13/$F$19)*'Canada National Model'!$D$19*1000</f>
        <v>0.04456297314</v>
      </c>
      <c r="J13" s="28">
        <f>($F13/$F$19)*'Canada National Model'!$D$21*1000</f>
        <v>0.08912594629</v>
      </c>
    </row>
    <row r="14" ht="15.0" customHeight="1">
      <c r="A14" s="3"/>
      <c r="B14" s="22" t="s">
        <v>267</v>
      </c>
      <c r="C14" s="48">
        <v>0.18</v>
      </c>
      <c r="D14" s="49">
        <f t="shared" si="1"/>
        <v>0.004438854775</v>
      </c>
      <c r="E14" s="50">
        <v>1.1</v>
      </c>
      <c r="F14" s="51">
        <f t="shared" si="2"/>
        <v>0.004882740253</v>
      </c>
      <c r="G14" s="52">
        <f>($F14/$F$19)*'Canada National Model'!$D$13*1000</f>
        <v>2.178634243</v>
      </c>
      <c r="H14" s="52">
        <f>($F14/$F$19)*'Canada National Model'!$D$16*1000</f>
        <v>0.871453697</v>
      </c>
      <c r="I14" s="52">
        <f>($F14/$F$19)*'Canada National Model'!$D$19*1000</f>
        <v>0.01307180546</v>
      </c>
      <c r="J14" s="31">
        <f>($F14/$F$19)*'Canada National Model'!$D$21*1000</f>
        <v>0.02614361091</v>
      </c>
    </row>
    <row r="15" ht="15.0" customHeight="1">
      <c r="A15" s="3"/>
      <c r="B15" s="10" t="s">
        <v>268</v>
      </c>
      <c r="C15" s="40">
        <v>0.045</v>
      </c>
      <c r="D15" s="43">
        <f t="shared" si="1"/>
        <v>0.001109713694</v>
      </c>
      <c r="E15" s="44">
        <v>2.2</v>
      </c>
      <c r="F15" s="45">
        <f t="shared" si="2"/>
        <v>0.002441370127</v>
      </c>
      <c r="G15" s="47">
        <f>($F15/$F$19)*'Canada National Model'!$D$13*1000</f>
        <v>1.089317121</v>
      </c>
      <c r="H15" s="47">
        <f>($F15/$F$19)*'Canada National Model'!$D$16*1000</f>
        <v>0.4357268485</v>
      </c>
      <c r="I15" s="47">
        <f>($F15/$F$19)*'Canada National Model'!$D$19*1000</f>
        <v>0.006535902728</v>
      </c>
      <c r="J15" s="28">
        <f>($F15/$F$19)*'Canada National Model'!$D$21*1000</f>
        <v>0.01307180546</v>
      </c>
    </row>
    <row r="16" ht="15.0" customHeight="1">
      <c r="A16" s="3"/>
      <c r="B16" s="22" t="s">
        <v>269</v>
      </c>
      <c r="C16" s="48">
        <v>0.045</v>
      </c>
      <c r="D16" s="49">
        <f t="shared" si="1"/>
        <v>0.001109713694</v>
      </c>
      <c r="E16" s="50">
        <v>1.9</v>
      </c>
      <c r="F16" s="51">
        <f t="shared" si="2"/>
        <v>0.002108456018</v>
      </c>
      <c r="G16" s="52">
        <f>($F16/$F$19)*'Canada National Model'!$D$13*1000</f>
        <v>0.9407738775</v>
      </c>
      <c r="H16" s="52">
        <f>($F16/$F$19)*'Canada National Model'!$D$16*1000</f>
        <v>0.376309551</v>
      </c>
      <c r="I16" s="52">
        <f>($F16/$F$19)*'Canada National Model'!$D$19*1000</f>
        <v>0.005644643265</v>
      </c>
      <c r="J16" s="31">
        <f>($F16/$F$19)*'Canada National Model'!$D$21*1000</f>
        <v>0.01128928653</v>
      </c>
    </row>
    <row r="17" ht="15.0" customHeight="1">
      <c r="A17" s="3"/>
      <c r="B17" s="10" t="s">
        <v>270</v>
      </c>
      <c r="C17" s="40">
        <v>0.041</v>
      </c>
      <c r="D17" s="43">
        <f t="shared" si="1"/>
        <v>0.001011072477</v>
      </c>
      <c r="E17" s="44">
        <v>2.4</v>
      </c>
      <c r="F17" s="45">
        <f t="shared" si="2"/>
        <v>0.002426573944</v>
      </c>
      <c r="G17" s="47">
        <f>($F17/$F$19)*'Canada National Model'!$D$13*1000</f>
        <v>1.082715199</v>
      </c>
      <c r="H17" s="47">
        <f>($F17/$F$19)*'Canada National Model'!$D$16*1000</f>
        <v>0.4330860797</v>
      </c>
      <c r="I17" s="47">
        <f>($F17/$F$19)*'Canada National Model'!$D$19*1000</f>
        <v>0.006496291196</v>
      </c>
      <c r="J17" s="28">
        <f>($F17/$F$19)*'Canada National Model'!$D$21*1000</f>
        <v>0.01299258239</v>
      </c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5.0" customHeight="1">
      <c r="A19" s="3"/>
      <c r="B19" s="53" t="s">
        <v>258</v>
      </c>
      <c r="C19" s="3"/>
      <c r="D19" s="3"/>
      <c r="E19" s="3"/>
      <c r="F19" s="54">
        <f>SUM(F5:F17)</f>
        <v>0.9932652709</v>
      </c>
      <c r="G19" s="3"/>
      <c r="H19" s="3"/>
      <c r="I19" s="3"/>
      <c r="J19" s="3"/>
    </row>
    <row r="20" ht="15.0" customHeight="1">
      <c r="A20" s="3"/>
      <c r="B20" s="37" t="s">
        <v>271</v>
      </c>
      <c r="C20" s="55"/>
      <c r="D20" s="55"/>
      <c r="E20" s="55"/>
      <c r="F20" s="55"/>
      <c r="G20" s="29">
        <f t="shared" ref="G20:J20" si="3">SUM(G5:G17)</f>
        <v>443.18592</v>
      </c>
      <c r="H20" s="29">
        <f t="shared" si="3"/>
        <v>177.274368</v>
      </c>
      <c r="I20" s="29">
        <f t="shared" si="3"/>
        <v>2.65911552</v>
      </c>
      <c r="J20" s="29">
        <f t="shared" si="3"/>
        <v>5.31823104</v>
      </c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2026-09-07T15:16:13Z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