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Methodology" sheetId="2" r:id="rId5"/>
    <sheet state="visible" name="Assumptions" sheetId="3" r:id="rId6"/>
    <sheet state="visible" name="US National Model" sheetId="4" r:id="rId7"/>
    <sheet state="visible" name="US State Breakdown" sheetId="5" r:id="rId8"/>
    <sheet state="visible" name="Canada National Model" sheetId="6" r:id="rId9"/>
    <sheet state="visible" name="Canada Province Breakdown" sheetId="7" r:id="rId10"/>
  </sheets>
  <definedNames/>
  <calcPr/>
  <extLst>
    <ext uri="GoogleSheetsCustomDataVersion2">
      <go:sheetsCustomData xmlns:go="http://customooxmlschemas.google.com/" r:id="rId11" roundtripDataChecksum="ltFl8NHkFIxYK+9ppsBbL4Jtapl0VZUiscFu7XlVdpc="/>
    </ext>
  </extLst>
</workbook>
</file>

<file path=xl/sharedStrings.xml><?xml version="1.0" encoding="utf-8"?>
<sst xmlns="http://schemas.openxmlformats.org/spreadsheetml/2006/main" count="266" uniqueCount="225">
  <si>
    <t>AI Prior Authorization Platform — Market Sizing</t>
  </si>
  <si>
    <t>AI Prior Authorization Platform — Market Opportunity Summary</t>
  </si>
  <si>
    <t>United States — National TAM / SAM / SOM Waterfall</t>
  </si>
  <si>
    <t>Key Assumptions</t>
  </si>
  <si>
    <t>Methodology, definitions, and sources — read this sheet first</t>
  </si>
  <si>
    <t>All figures in USD $ billions unless noted. Formulas link to Assumptions tab.</t>
  </si>
  <si>
    <t>Edit any yellow cell — every other tab recalculates from these inputs</t>
  </si>
  <si>
    <t>US + Canada Healthcare — TAM / SAM / SOM (US$, unless noted). All figures link live to the underlying model.</t>
  </si>
  <si>
    <t>PRODUCT CONTEXT</t>
  </si>
  <si>
    <t>Line item</t>
  </si>
  <si>
    <t>Geography</t>
  </si>
  <si>
    <t>$ Billions</t>
  </si>
  <si>
    <t>Assumption</t>
  </si>
  <si>
    <t>Software TAM ($B)</t>
  </si>
  <si>
    <t>Formula logic</t>
  </si>
  <si>
    <t>Product analyzed</t>
  </si>
  <si>
    <t>Value</t>
  </si>
  <si>
    <t>SAM ($B)</t>
  </si>
  <si>
    <t>AI-powered prior authorization / utilization-management (UM) automation platform for healthcare providers and payers — comparable to ClearAuth AI (clearauthai.com).</t>
  </si>
  <si>
    <t>1. US National Health Expenditure (NHE)</t>
  </si>
  <si>
    <t>Note / Source</t>
  </si>
  <si>
    <t>SOM — Base ($B)</t>
  </si>
  <si>
    <t>United States (national + all 50 states + DC) and Canada (national + 10 provinces + 3 territories).</t>
  </si>
  <si>
    <t>US National Health Expenditure, 2025E ($B)</t>
  </si>
  <si>
    <t>Vertical</t>
  </si>
  <si>
    <t>SOM — Upside ($B)</t>
  </si>
  <si>
    <t>Healthcare — hospitals &amp; health systems, medical groups/specialty practices, ambulatory surgical centers, and payers (health plans) that run prior-authorization and utilization-review workflows.</t>
  </si>
  <si>
    <t>TAM</t>
  </si>
  <si>
    <t>DEFINITIONS USED IN THIS MODEL</t>
  </si>
  <si>
    <t>CMS NHE Historical &amp; Projections; 2023 actual $4,867B, projected fwd at ~7%/yr trend. VERIFY latest CMS figure.</t>
  </si>
  <si>
    <t>Total Available Market</t>
  </si>
  <si>
    <t>TAM (Total Addressable Market)</t>
  </si>
  <si>
    <t>The total annual SOFTWARE/technology spend that a category-defining PA/UM automation platform could theoretically capture across all US + Canada payers and providers, if it owned 100% of the category.</t>
  </si>
  <si>
    <t>United States</t>
  </si>
  <si>
    <t>Canada National Health Expenditure, 2024E (CAD $B)</t>
  </si>
  <si>
    <t>SAM (Serviceable Addressable Market)</t>
  </si>
  <si>
    <t>The slice of TAM that is realistically reachable given this product's go-to-market: mid-size to large hospitals/health systems, multi-site specialty groups, and payer UM departments, sold via direct/channel sales in English-language North American markets.</t>
  </si>
  <si>
    <t>CIHI National Health Expenditure Trends. VERIFY latest CIHI figure.</t>
  </si>
  <si>
    <t>SOM (Serviceable Obtainable Market)</t>
  </si>
  <si>
    <t>CAD → USD exchange rate</t>
  </si>
  <si>
    <t>The realistic revenue a new entrant can capture within a 3–5 year horizon, given the existing competitive set (Cohere Health, Rhyme, Availity, Waystar, Myndshft, Banjo Health, XSOLIS, and EHR-native UM modules from Epic/Oracle Health).</t>
  </si>
  <si>
    <t>WHY A TWO-STAGE 'COST POOL → SOFTWARE TAM' MODEL</t>
  </si>
  <si>
    <t>Illustrative FX rate — update to spot rate before presenting.</t>
  </si>
  <si>
    <t>US administrative cost, % of NHE</t>
  </si>
  <si>
    <t>Total US healthcare spend, all payers, 2025E.</t>
  </si>
  <si>
    <t>The problem</t>
  </si>
  <si>
    <t>2. Administrative cost % of NHE</t>
  </si>
  <si>
    <t>Prior authorization touches a very large pool of administrative COST (staff time, denials/appeals, delayed care) — but only a fraction of that cost converts into money that flows to a software vendor. A TAM built directly off total healthcare spend (e.g., "25% of $5T is administrative, therefore TAM = $1.3T") wildly overstates what a company can realistically sell into and will not withstand diligence.</t>
  </si>
  <si>
    <t>The fix</t>
  </si>
  <si>
    <t>This model first sizes the full PRIOR-AUTH/UM COST POOL top-down from national health expenditure (an easy number to defend), then applies a SOFTWARE-CAPTURE RATE — the share of that cost pool that historically converts into vendor license/subscription revenue in adjacent categories (RCM automation, claims automation, denial management SaaS) — to arrive at a Software TAM. SAM and SOM are then carved out of that Software TAM. Every conversion factor is an explicit, editable, labeled assumption on the Assumptions tab (yellow cells) — change any one and the whole model recalculates.</t>
  </si>
  <si>
    <t>Health-policy literature range 15–30%; fragmented multi-payer system skews toward the higher end.</t>
  </si>
  <si>
    <t>Canada administrative cost, % of NHE</t>
  </si>
  <si>
    <t>SOURCES &amp; GROUNDING (verify before client-facing use)</t>
  </si>
  <si>
    <t>Billing, insurance-related, and utilization administration.</t>
  </si>
  <si>
    <t>Single-payer provincial systems typically cited lower than the US.</t>
  </si>
  <si>
    <t>3. Total US healthcare administrative spend</t>
  </si>
  <si>
    <t>US National Health Expenditure (NHE)</t>
  </si>
  <si>
    <t>Prior-auth / UM share of administrative cost</t>
  </si>
  <si>
    <t>CMS Office of the Actuary NHE Historical &amp; Projections data. 2023 actual NHE was ~$4.87 trillion; this model projects 2025 at ~$5.4T using CMS's published ~7%/yr near-term trend growth rate. CONFIRM the latest published NHE figure at cms.gov before presenting.</t>
  </si>
  <si>
    <t>Canada National Health Expenditure</t>
  </si>
  <si>
    <t>Placeholder — refine against CAQH CORE Index prior-authorization cost data.</t>
  </si>
  <si>
    <t>Canadian Institute for Health Information (CIHI), National Health Expenditure Trends. 2024 estimate used here is CAD $372B. CONFIRM latest figure at cihi.ca.</t>
  </si>
  <si>
    <t>Administrative cost share of spend</t>
  </si>
  <si>
    <t>Software-capture rate (cost pool → vendor software TAM)</t>
  </si>
  <si>
    <t>Widely-cited academic/health-policy estimates (e.g., Health Affairs, JAMA, NEJM Catalyst research on billing &amp; insurance-related costs) place US administrative overhead at 15–30% of total health spend; this model uses 25% as a defensible mid/upper estimate reflecting the US's payer-fragmented system. Canada's single-payer provincial system is typically cited as materially lower (~15–18%); this model uses 17%.</t>
  </si>
  <si>
    <t>SAM</t>
  </si>
  <si>
    <t>Prior-auth/UM share of admin cost</t>
  </si>
  <si>
    <t>Typical SaaS value-capture in adjacent RCM/denials-automation categories (~10–15%).</t>
  </si>
  <si>
    <t>Serviceable Available Market</t>
  </si>
  <si>
    <t>CAQH CORE Index research tracks prior authorization as one of the costliest per-transaction administrative categories (alongside claims and eligibility). This model assumes PA/UM activities represent ~8% of total administrative cost — a placeholder assumption that should be refined against the latest CAQH Index report (caqh.org/core/index) before external use.</t>
  </si>
  <si>
    <t>Canada</t>
  </si>
  <si>
    <t>SAM as % of Software TAM (reachable segment)</t>
  </si>
  <si>
    <t>Row 1 x Row 2.</t>
  </si>
  <si>
    <t>Software-capture rate</t>
  </si>
  <si>
    <t>SaaS vendors in adjacent healthcare-admin-automation categories (denials management, RCM automation) typically price on value delivered, capturing roughly 10–15% of the underlying manual-cost pool as license/subscription fees. This model uses 12%.</t>
  </si>
  <si>
    <t>Reflects focus on hospitals/health systems + specialty groups + payer UM depts, direct/channel sales, NA English-language markets.</t>
  </si>
  <si>
    <t>State/province apportionment</t>
  </si>
  <si>
    <t>SOM as % of SAM (3–5 year realistic capture)</t>
  </si>
  <si>
    <t>US state weights = 2024 Census population estimate × a directional per-capita health-spending index (reflecting known patterns, e.g., higher per-capita spend in MA/NY/AK/DC, lower in UT/ID/NV). Canada province weights use 2024 population estimates with a smaller remoteness-cost adjustment for the territories. BOTH should be re-based on CMS's State Health Expenditure Accounts (cms.gov) and CIHI provincial data for a final client deliverable — the values here are directional, not official state-level statistics.</t>
  </si>
  <si>
    <t>HOW TO USE THIS WORKBOOK</t>
  </si>
  <si>
    <t>1.</t>
  </si>
  <si>
    <t>Start on 'Assumptions' — every yellow cell is an editable lever. Change any of them (e.g., a more conservative software-capture rate) and every other tab recalculates automatically.</t>
  </si>
  <si>
    <t>2.</t>
  </si>
  <si>
    <t>'US National Model' and 'Canada National Model' show the full waterfall from national health spend down to TAM / SAM / SOM.</t>
  </si>
  <si>
    <t>3.</t>
  </si>
  <si>
    <t>4. Prior-auth / UM share of administrative cost</t>
  </si>
  <si>
    <t>'US State Breakdown' and 'Canada Province Breakdown' split those national totals across all states/provinces.</t>
  </si>
  <si>
    <t>4.</t>
  </si>
  <si>
    <t>'Executive Summary' is the one-page rollup — this is the tab to screenshot or present.</t>
  </si>
  <si>
    <t>Reasonable new-entrant share in a category with established players (Cohere Health, Rhyme, Availity, Waystar, Myndshft, XSOLIS).</t>
  </si>
  <si>
    <t>Optimistic SOM as % of SAM (upside case)</t>
  </si>
  <si>
    <t>This model was built without live web access in this session, so every dollar figure is drawn from general industry knowledge current to Jan 2026, not a fresh pull of the latest published reports. Before presenting to the client, re-verify: (a) the latest CMS NHE topline figure, (b) the latest CAQH CORE Index prior-auth statistics, and (c) any named-vendor market-share claims. Treat the numbers here as a rigorous, transparent MODEL — not as a quoted market-research figure.</t>
  </si>
  <si>
    <t>Upside case if the product wins a clear wedge (e.g., a specialty vertical or a flagship health-system logo) and expands faster.</t>
  </si>
  <si>
    <t>SOM</t>
  </si>
  <si>
    <t>Serviceable Obtainable Market</t>
  </si>
  <si>
    <t>US + CANADA COMBINED</t>
  </si>
  <si>
    <t>Placeholder — refine vs. CAQH CORE Index.</t>
  </si>
  <si>
    <t>5. US Prior-Auth / UM COST POOL ('Problem TAM')</t>
  </si>
  <si>
    <t>Total cost currently spent (staff time + payer UM ops + denials/appeals) on PA/UM — NOT a software number.</t>
  </si>
  <si>
    <t>Top 10 US states by opportunity (base-case SOM)</t>
  </si>
  <si>
    <t>6. Software-capture rate</t>
  </si>
  <si>
    <t>Share of the cost pool that converts to vendor SaaS/license revenue.</t>
  </si>
  <si>
    <t>State</t>
  </si>
  <si>
    <t>7. US SOFTWARE TAM</t>
  </si>
  <si>
    <t>TAM ($M)</t>
  </si>
  <si>
    <t>SAM ($M)</t>
  </si>
  <si>
    <t>SOM — Base ($M)</t>
  </si>
  <si>
    <t>SOM — Upside ($M)</t>
  </si>
  <si>
    <t>California</t>
  </si>
  <si>
    <t>Row 5 x Row 6 — the realistic total software/tech spend category.</t>
  </si>
  <si>
    <t>8. SAM as % of Software TAM</t>
  </si>
  <si>
    <t>Reachable segment: hospitals/health systems, specialty groups, payer UM depts.</t>
  </si>
  <si>
    <t>9. US SAM (Serviceable Addressable Market)</t>
  </si>
  <si>
    <t>Row 7 x Row 8.</t>
  </si>
  <si>
    <t>10. Base-case SOM as % of SAM (3–5 yr)</t>
  </si>
  <si>
    <t>Realistic new-entrant capture vs. established competitors.</t>
  </si>
  <si>
    <t>11. US SOM — Base case</t>
  </si>
  <si>
    <t>Row 9 x Row 10. Realistic 3-5yr revenue opportunity.</t>
  </si>
  <si>
    <t>12. Optimistic SOM as % of SAM (upside)</t>
  </si>
  <si>
    <t>Texas</t>
  </si>
  <si>
    <t>Upside case with a strong wedge / flagship logo.</t>
  </si>
  <si>
    <t>13. US SOM — Upside case</t>
  </si>
  <si>
    <t>Row 9 x Row 12.</t>
  </si>
  <si>
    <t>New York</t>
  </si>
  <si>
    <t>United States — State-by-State TAM / SAM / SOM</t>
  </si>
  <si>
    <t>Apportioned from the US National Model using population share x a directional per-capita health-spend index. VERIFY against CMS State Health Expenditure Accounts before external use.</t>
  </si>
  <si>
    <t>Florida</t>
  </si>
  <si>
    <t>2024E Population (M)</t>
  </si>
  <si>
    <t>Canada — National TAM / SAM / SOM Waterfall</t>
  </si>
  <si>
    <t>Pop. Share</t>
  </si>
  <si>
    <t>Figures shown in CAD and USD billions. Formulas link to Assumptions tab.</t>
  </si>
  <si>
    <t>Per-Capita
Spend Index</t>
  </si>
  <si>
    <t>Weighted
Share</t>
  </si>
  <si>
    <t>CAD $B</t>
  </si>
  <si>
    <t>USD $B</t>
  </si>
  <si>
    <t>1. Canada National Health Expenditure (NHE)</t>
  </si>
  <si>
    <t>Pennsylvania</t>
  </si>
  <si>
    <t>Total Canada healthcare spend, all payers/provinces, 2024E.</t>
  </si>
  <si>
    <t>Lower than US — single-payer provincial systems.</t>
  </si>
  <si>
    <t>3. Total Canada healthcare administrative spend</t>
  </si>
  <si>
    <t>Illinois</t>
  </si>
  <si>
    <t>Same placeholder share as US model.</t>
  </si>
  <si>
    <t>5. Canada Prior-Auth / UM COST POOL ('Problem TAM')</t>
  </si>
  <si>
    <t>Total cost currently spent on PA/UM across Canada — not a software number.</t>
  </si>
  <si>
    <t>Ohio</t>
  </si>
  <si>
    <t>Same capture-rate assumption as US model.</t>
  </si>
  <si>
    <t>7. Canada SOFTWARE TAM</t>
  </si>
  <si>
    <t>Canada — Province/Territory TAM / SAM / SOM</t>
  </si>
  <si>
    <t>Row 5 x Row 6.</t>
  </si>
  <si>
    <t>Apportioned from the Canada National Model using population share x a directional per-capita health-spend index (higher for the territories, reflecting remote-care delivery cost). VERIFY against CIHI provincial data before external use.</t>
  </si>
  <si>
    <t>Province / Territory</t>
  </si>
  <si>
    <t>Same reachable-segment assumption as US model.</t>
  </si>
  <si>
    <t>9. Canada SAM (Serviceable Addressable Market)</t>
  </si>
  <si>
    <t>New Jersey</t>
  </si>
  <si>
    <t>TAM (US$M)</t>
  </si>
  <si>
    <t>SAM (US$M)</t>
  </si>
  <si>
    <t>SOM — Base (US$M)</t>
  </si>
  <si>
    <t>SOM — Upside (US$M)</t>
  </si>
  <si>
    <t>Ontario</t>
  </si>
  <si>
    <t>Realistic new-entrant capture.</t>
  </si>
  <si>
    <t>11. Canada SOM — Base case</t>
  </si>
  <si>
    <t>Row 9 x Row 10.</t>
  </si>
  <si>
    <t>Michigan</t>
  </si>
  <si>
    <t>Upside case.</t>
  </si>
  <si>
    <t>13. Canada SOM — Upside case</t>
  </si>
  <si>
    <t>Quebec</t>
  </si>
  <si>
    <t>North Carolina</t>
  </si>
  <si>
    <t>British Columbia</t>
  </si>
  <si>
    <t>Top 5 Canadian provinces by opportunity (base-case SOM)</t>
  </si>
  <si>
    <t>Province</t>
  </si>
  <si>
    <t>Alberta</t>
  </si>
  <si>
    <t>Manitoba</t>
  </si>
  <si>
    <t>Georgia</t>
  </si>
  <si>
    <t>Saskatchewan</t>
  </si>
  <si>
    <t>Nova Scotia</t>
  </si>
  <si>
    <t>New Brunswick</t>
  </si>
  <si>
    <t>Note: 'Software TAM' = realistic vendor-capturable technology spend, derived from the full prior-auth/UM administrative cost pool via a 12% software-capture assumption (see Methodology + Assumptions tabs). SOM reflects a 1.5% (base) to 3.0% (upside) share of SAM captured within a 3–5 year horizon, consistent with a focused new entrant competing against Cohere Health, Rhyme, Availity, Waystar, Myndshft, and XSOLIS.</t>
  </si>
  <si>
    <t>Newfoundland &amp; Labrador</t>
  </si>
  <si>
    <t>Virginia</t>
  </si>
  <si>
    <t>Prince Edward Island</t>
  </si>
  <si>
    <t>Washington</t>
  </si>
  <si>
    <t>Northwest Territories</t>
  </si>
  <si>
    <t>Yukon</t>
  </si>
  <si>
    <t>Arizona</t>
  </si>
  <si>
    <t>Nunavut</t>
  </si>
  <si>
    <t>Tennessee</t>
  </si>
  <si>
    <t>TOTAL (sum of weighted shares — used to normalize)</t>
  </si>
  <si>
    <t>Massachusetts</t>
  </si>
  <si>
    <t>CANADA TOTAL (all provinces + territories)</t>
  </si>
  <si>
    <t>Indiana</t>
  </si>
  <si>
    <t>Maryland</t>
  </si>
  <si>
    <t>Missouri</t>
  </si>
  <si>
    <t>Colorado</t>
  </si>
  <si>
    <t>Wisconsin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</si>
  <si>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</si>
  <si>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</si>
  <si>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</si>
  <si>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</si>
  <si>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</si>
  <si>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</si>
  <si>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</si>
  <si>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</si>
  <si>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</si>
  <si>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</si>
  <si>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</si>
  <si>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</si>
  <si>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</si>
  <si>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</si>
  <si>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</si>
  <si>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</si>
  <si>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</si>
  <si>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</si>
  <si>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</si>
  <si>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</si>
  <si>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</si>
  <si>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Montana</t>
  </si>
  <si>
    <t>Rhode Island</t>
  </si>
  <si>
    <t>Delaware</t>
  </si>
  <si>
    <t>South Dakota</t>
  </si>
  <si>
    <t>North Dakota</t>
  </si>
  <si>
    <t>Alaska</t>
  </si>
  <si>
    <t>Vermont</t>
  </si>
  <si>
    <t>Wyoming</t>
  </si>
  <si>
    <t>District of Columbia</t>
  </si>
  <si>
    <t>US TOTAL (all 50 states + DC)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</si>
</sst>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;&quot;($&quot;#,##0\);\-"/>
    <numFmt numFmtId="165" formatCode="\$#,##0.0"/>
    <numFmt numFmtId="166" formatCode="0.0%"/>
    <numFmt numFmtId="167" formatCode="#,##0.0"/>
    <numFmt numFmtId="168" formatCode="0.0000"/>
  </numFmts>
  <fonts count="12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40404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FFFFFF"/>
      <name val="Arial"/>
    </font>
    <font/>
    <font>
      <b/>
      <sz val="11.0"/>
      <color rgb="FF0000FF"/>
      <name val="Arial"/>
    </font>
    <font>
      <color theme="1"/>
      <name val="Calibri"/>
      <scheme val="minor"/>
    </font>
    <font>
      <i/>
      <sz val="9.0"/>
      <color rgb="FF595959"/>
      <name val="Arial"/>
    </font>
    <font>
      <sz val="11.0"/>
      <color theme="1"/>
      <name val="Calibri"/>
    </font>
    <font>
      <sz val="11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0" fontId="4" numFmtId="0" xfId="0" applyAlignment="1" applyBorder="1" applyFont="1">
      <alignment shrinkToFit="0" vertical="bottom" wrapText="0"/>
    </xf>
    <xf borderId="1" fillId="4" fontId="7" numFmtId="3" xfId="0" applyAlignment="1" applyBorder="1" applyFill="1" applyFont="1" applyNumberFormat="1">
      <alignment horizontal="center" shrinkToFit="0" vertical="bottom" wrapText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shrinkToFit="0" vertical="top" wrapText="1"/>
    </xf>
    <xf borderId="1" fillId="4" fontId="7" numFmtId="2" xfId="0" applyAlignment="1" applyBorder="1" applyFill="1" applyFont="1" applyNumberFormat="1">
      <alignment horizontal="center" shrinkToFit="0" vertical="bottom" wrapText="0"/>
    </xf>
    <xf borderId="1" fillId="0" fontId="4" numFmtId="164" xfId="0" applyAlignment="1" applyBorder="1" applyFont="1" applyNumberFormat="1">
      <alignment horizontal="right" shrinkToFit="0" vertical="bottom" wrapText="0"/>
    </xf>
    <xf borderId="1" fillId="0" fontId="10" numFmtId="165" xfId="0" applyAlignment="1" applyBorder="1" applyFont="1" applyNumberFormat="1">
      <alignment shrinkToFit="0" vertical="bottom" wrapText="0"/>
    </xf>
    <xf borderId="1" fillId="4" fontId="7" numFmtId="166" xfId="0" applyAlignment="1" applyBorder="1" applyFill="1" applyFont="1" applyNumberFormat="1">
      <alignment horizontal="center" shrinkToFit="0" vertical="bottom" wrapText="0"/>
    </xf>
    <xf borderId="1" fillId="0" fontId="4" numFmtId="166" xfId="0" applyAlignment="1" applyBorder="1" applyFont="1" applyNumberFormat="1">
      <alignment horizontal="right"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1" fillId="5" fontId="3" numFmtId="164" xfId="0" applyAlignment="1" applyBorder="1" applyFill="1" applyFont="1" applyNumberFormat="1">
      <alignment horizontal="right"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5" fontId="9" numFmtId="0" xfId="0" applyAlignment="1" applyBorder="1" applyFill="1" applyFont="1">
      <alignment shrinkToFit="0" vertical="top" wrapText="1"/>
    </xf>
    <xf borderId="1" fillId="6" fontId="10" numFmtId="165" xfId="0" applyAlignment="1" applyBorder="1" applyFill="1" applyFont="1" applyNumberFormat="1">
      <alignment shrinkToFit="0" vertical="bottom" wrapText="0"/>
    </xf>
    <xf borderId="1" fillId="4" fontId="7" numFmtId="10" xfId="0" applyAlignment="1" applyBorder="1" applyFill="1" applyFont="1" applyNumberFormat="1">
      <alignment horizontal="center"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4" fontId="3" numFmtId="165" xfId="0" applyAlignment="1" applyBorder="1" applyFill="1" applyFont="1" applyNumberFormat="1">
      <alignment shrinkToFit="0" vertical="bottom" wrapText="0"/>
    </xf>
    <xf borderId="1" fillId="4" fontId="3" numFmtId="164" xfId="0" applyAlignment="1" applyBorder="1" applyFill="1" applyFont="1" applyNumberFormat="1">
      <alignment horizontal="right" shrinkToFit="0" vertical="bottom" wrapText="0"/>
    </xf>
    <xf borderId="1" fillId="4" fontId="9" numFmtId="0" xfId="0" applyAlignment="1" applyBorder="1" applyFill="1" applyFont="1">
      <alignment shrinkToFit="0" vertical="top" wrapText="1"/>
    </xf>
    <xf borderId="1" fillId="0" fontId="10" numFmtId="164" xfId="0" applyAlignment="1" applyBorder="1" applyFont="1" applyNumberFormat="1">
      <alignment shrinkToFit="0" vertical="bottom" wrapText="0"/>
    </xf>
    <xf borderId="1" fillId="0" fontId="4" numFmtId="10" xfId="0" applyAlignment="1" applyBorder="1" applyFont="1" applyNumberFormat="1">
      <alignment horizontal="right" shrinkToFit="0" vertical="bottom" wrapText="0"/>
    </xf>
    <xf borderId="1" fillId="0" fontId="11" numFmtId="167" xfId="0" applyAlignment="1" applyBorder="1" applyFont="1" applyNumberFormat="1">
      <alignment shrinkToFit="0" vertical="bottom" wrapText="0"/>
    </xf>
    <xf borderId="1" fillId="0" fontId="4" numFmtId="10" xfId="0" applyAlignment="1" applyBorder="1" applyFont="1" applyNumberFormat="1">
      <alignment shrinkToFit="0" vertical="bottom" wrapText="0"/>
    </xf>
    <xf borderId="1" fillId="0" fontId="11" numFmtId="2" xfId="0" applyAlignment="1" applyBorder="1" applyFont="1" applyNumberFormat="1">
      <alignment shrinkToFit="0" vertical="bottom" wrapText="0"/>
    </xf>
    <xf borderId="1" fillId="0" fontId="4" numFmtId="168" xfId="0" applyAlignment="1" applyBorder="1" applyFont="1" applyNumberForma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6" fontId="11" numFmtId="167" xfId="0" applyAlignment="1" applyBorder="1" applyFill="1" applyFont="1" applyNumberFormat="1">
      <alignment shrinkToFit="0" vertical="bottom" wrapText="0"/>
    </xf>
    <xf borderId="1" fillId="6" fontId="4" numFmtId="10" xfId="0" applyAlignment="1" applyBorder="1" applyFill="1" applyFont="1" applyNumberFormat="1">
      <alignment shrinkToFit="0" vertical="bottom" wrapText="0"/>
    </xf>
    <xf borderId="1" fillId="6" fontId="11" numFmtId="2" xfId="0" applyAlignment="1" applyBorder="1" applyFill="1" applyFont="1" applyNumberFormat="1">
      <alignment shrinkToFit="0" vertical="bottom" wrapText="0"/>
    </xf>
    <xf borderId="1" fillId="6" fontId="4" numFmtId="168" xfId="0" applyAlignment="1" applyBorder="1" applyFill="1" applyFont="1" applyNumberFormat="1">
      <alignment shrinkToFit="0" vertical="bottom" wrapText="0"/>
    </xf>
    <xf borderId="1" fillId="6" fontId="4" numFmtId="164" xfId="0" applyAlignment="1" applyBorder="1" applyFill="1" applyFont="1" applyNumberFormat="1">
      <alignment shrinkToFit="0" vertical="bottom" wrapText="0"/>
    </xf>
    <xf borderId="1" fillId="6" fontId="10" numFmtId="164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0" fillId="0" fontId="3" numFmtId="168" xfId="0" applyAlignment="1" applyFont="1" applyNumberFormat="1">
      <alignment shrinkToFit="0" vertical="bottom" wrapText="0"/>
    </xf>
    <xf borderId="1" fillId="5" fontId="10" numFmtId="0" xfId="0" applyAlignment="1" applyBorder="1" applyFill="1" applyFont="1">
      <alignment shrinkToFit="0" vertical="bottom" wrapText="0"/>
    </xf>
    <xf borderId="1" fillId="5" fontId="3" numFmtId="16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6" width="16.0"/>
    <col customWidth="1" min="7" max="26" width="8.71"/>
  </cols>
  <sheetData>
    <row r="1" ht="25.5" customHeight="1">
      <c r="A1" s="1" t="s">
        <v>1</v>
      </c>
    </row>
    <row r="2">
      <c r="A2" s="2" t="s">
        <v>7</v>
      </c>
    </row>
    <row r="4" ht="27.75" customHeight="1">
      <c r="A4" s="5"/>
      <c r="B4" s="5" t="s">
        <v>10</v>
      </c>
      <c r="C4" s="5" t="s">
        <v>13</v>
      </c>
      <c r="D4" s="5" t="s">
        <v>17</v>
      </c>
      <c r="E4" s="5" t="s">
        <v>21</v>
      </c>
      <c r="F4" s="5" t="s">
        <v>25</v>
      </c>
      <c r="J4" s="11" t="s">
        <v>27</v>
      </c>
      <c r="K4" s="11" t="s">
        <v>30</v>
      </c>
    </row>
    <row r="5">
      <c r="B5" s="9" t="s">
        <v>33</v>
      </c>
      <c r="C5" s="15">
        <f>'US National Model'!C13</f>
        <v>12.96</v>
      </c>
      <c r="D5" s="15">
        <f>'US National Model'!C16</f>
        <v>5.184</v>
      </c>
      <c r="E5" s="15">
        <f>'US National Model'!C19</f>
        <v>0.07776</v>
      </c>
      <c r="F5" s="15">
        <f>'US National Model'!C21</f>
        <v>0.15552</v>
      </c>
      <c r="J5" s="11" t="s">
        <v>65</v>
      </c>
      <c r="K5" s="11" t="s">
        <v>68</v>
      </c>
    </row>
    <row r="6">
      <c r="B6" s="20" t="s">
        <v>70</v>
      </c>
      <c r="C6" s="22">
        <f>'Canada National Model'!D13</f>
        <v>0.44318592</v>
      </c>
      <c r="D6" s="22">
        <f>'Canada National Model'!D16</f>
        <v>0.177274368</v>
      </c>
      <c r="E6" s="22">
        <f>'Canada National Model'!D19</f>
        <v>0.00265911552</v>
      </c>
      <c r="F6" s="22">
        <f>'Canada National Model'!D21</f>
        <v>0.00531823104</v>
      </c>
      <c r="J6" s="11" t="s">
        <v>93</v>
      </c>
      <c r="K6" s="11" t="s">
        <v>94</v>
      </c>
    </row>
    <row r="7">
      <c r="B7" s="24" t="s">
        <v>95</v>
      </c>
      <c r="C7" s="25">
        <f t="shared" ref="C7:F7" si="1">SUM(C5:C6)</f>
        <v>13.40318592</v>
      </c>
      <c r="D7" s="25">
        <f t="shared" si="1"/>
        <v>5.361274368</v>
      </c>
      <c r="E7" s="25">
        <f t="shared" si="1"/>
        <v>0.08041911552</v>
      </c>
      <c r="F7" s="25">
        <f t="shared" si="1"/>
        <v>0.160838231</v>
      </c>
    </row>
    <row r="10" ht="18.0" customHeight="1">
      <c r="B10" s="6" t="s">
        <v>99</v>
      </c>
      <c r="C10" s="7"/>
      <c r="D10" s="7"/>
      <c r="E10" s="7"/>
      <c r="F10" s="8"/>
    </row>
    <row r="11" ht="24.0" customHeight="1">
      <c r="A11" s="5"/>
      <c r="B11" s="5" t="s">
        <v>102</v>
      </c>
      <c r="C11" s="5" t="s">
        <v>104</v>
      </c>
      <c r="D11" s="5" t="s">
        <v>105</v>
      </c>
      <c r="E11" s="5" t="s">
        <v>106</v>
      </c>
      <c r="F11" s="5" t="s">
        <v>107</v>
      </c>
    </row>
    <row r="12">
      <c r="B12" s="9" t="s">
        <v>108</v>
      </c>
      <c r="C12" s="28">
        <f t="array" ref="C12">INDEX('US State Breakdown'!$G$5:$G$55,MATCH($B12,'US State Breakdown'!$B$5:$B$55,0))</f>
        <v>1578.165135</v>
      </c>
      <c r="D12" s="28">
        <f t="array" ref="D12">INDEX('US State Breakdown'!$H$5:$H$55,MATCH($B12,'US State Breakdown'!$B$5:$B$55,0))</f>
        <v>631.2660541</v>
      </c>
      <c r="E12" s="28">
        <f t="array" ref="E12">INDEX('US State Breakdown'!$I$5:$I$55,MATCH($B12,'US State Breakdown'!$B$5:$B$55,0))</f>
        <v>9.468990812</v>
      </c>
      <c r="F12" s="28">
        <f t="array" ref="F12">INDEX('US State Breakdown'!$J$5:$J$55,MATCH($B12,'US State Breakdown'!$B$5:$B$55,0))</f>
        <v>18.93798162</v>
      </c>
    </row>
    <row r="13">
      <c r="B13" s="9" t="s">
        <v>119</v>
      </c>
      <c r="C13" s="28">
        <f t="array" ref="C13">INDEX('US State Breakdown'!$G$5:$G$55,MATCH($B13,'US State Breakdown'!$B$5:$B$55,0))</f>
        <v>1085.638873</v>
      </c>
      <c r="D13" s="28">
        <f t="array" ref="D13">INDEX('US State Breakdown'!$H$5:$H$55,MATCH($B13,'US State Breakdown'!$B$5:$B$55,0))</f>
        <v>434.2555493</v>
      </c>
      <c r="E13" s="28">
        <f t="array" ref="E13">INDEX('US State Breakdown'!$I$5:$I$55,MATCH($B13,'US State Breakdown'!$B$5:$B$55,0))</f>
        <v>6.51383324</v>
      </c>
      <c r="F13" s="28">
        <f t="array" ref="F13">INDEX('US State Breakdown'!$J$5:$J$55,MATCH($B13,'US State Breakdown'!$B$5:$B$55,0))</f>
        <v>13.02766648</v>
      </c>
    </row>
    <row r="14">
      <c r="B14" s="9" t="s">
        <v>123</v>
      </c>
      <c r="C14" s="28">
        <f t="array" ref="C14">INDEX('US State Breakdown'!$G$5:$G$55,MATCH($B14,'US State Breakdown'!$B$5:$B$55,0))</f>
        <v>935.6457425</v>
      </c>
      <c r="D14" s="28">
        <f t="array" ref="D14">INDEX('US State Breakdown'!$H$5:$H$55,MATCH($B14,'US State Breakdown'!$B$5:$B$55,0))</f>
        <v>374.258297</v>
      </c>
      <c r="E14" s="28">
        <f t="array" ref="E14">INDEX('US State Breakdown'!$I$5:$I$55,MATCH($B14,'US State Breakdown'!$B$5:$B$55,0))</f>
        <v>5.613874455</v>
      </c>
      <c r="F14" s="28">
        <f t="array" ref="F14">INDEX('US State Breakdown'!$J$5:$J$55,MATCH($B14,'US State Breakdown'!$B$5:$B$55,0))</f>
        <v>11.22774891</v>
      </c>
    </row>
    <row r="15">
      <c r="B15" s="9" t="s">
        <v>126</v>
      </c>
      <c r="C15" s="28">
        <f t="array" ref="C15">INDEX('US State Breakdown'!$G$5:$G$55,MATCH($B15,'US State Breakdown'!$B$5:$B$55,0))</f>
        <v>919.8448217</v>
      </c>
      <c r="D15" s="28">
        <f t="array" ref="D15">INDEX('US State Breakdown'!$H$5:$H$55,MATCH($B15,'US State Breakdown'!$B$5:$B$55,0))</f>
        <v>367.9379287</v>
      </c>
      <c r="E15" s="28">
        <f t="array" ref="E15">INDEX('US State Breakdown'!$I$5:$I$55,MATCH($B15,'US State Breakdown'!$B$5:$B$55,0))</f>
        <v>5.51906893</v>
      </c>
      <c r="F15" s="28">
        <f t="array" ref="F15">INDEX('US State Breakdown'!$J$5:$J$55,MATCH($B15,'US State Breakdown'!$B$5:$B$55,0))</f>
        <v>11.03813786</v>
      </c>
    </row>
    <row r="16">
      <c r="B16" s="9" t="s">
        <v>136</v>
      </c>
      <c r="C16" s="28">
        <f t="array" ref="C16">INDEX('US State Breakdown'!$G$5:$G$55,MATCH($B16,'US State Breakdown'!$B$5:$B$55,0))</f>
        <v>530.1016224</v>
      </c>
      <c r="D16" s="28">
        <f t="array" ref="D16">INDEX('US State Breakdown'!$H$5:$H$55,MATCH($B16,'US State Breakdown'!$B$5:$B$55,0))</f>
        <v>212.040649</v>
      </c>
      <c r="E16" s="28">
        <f t="array" ref="E16">INDEX('US State Breakdown'!$I$5:$I$55,MATCH($B16,'US State Breakdown'!$B$5:$B$55,0))</f>
        <v>3.180609734</v>
      </c>
      <c r="F16" s="28">
        <f t="array" ref="F16">INDEX('US State Breakdown'!$J$5:$J$55,MATCH($B16,'US State Breakdown'!$B$5:$B$55,0))</f>
        <v>6.361219469</v>
      </c>
    </row>
    <row r="17">
      <c r="B17" s="9" t="s">
        <v>140</v>
      </c>
      <c r="C17" s="28">
        <f t="array" ref="C17">INDEX('US State Breakdown'!$G$5:$G$55,MATCH($B17,'US State Breakdown'!$B$5:$B$55,0))</f>
        <v>475.877487</v>
      </c>
      <c r="D17" s="28">
        <f t="array" ref="D17">INDEX('US State Breakdown'!$H$5:$H$55,MATCH($B17,'US State Breakdown'!$B$5:$B$55,0))</f>
        <v>190.3509948</v>
      </c>
      <c r="E17" s="28">
        <f t="array" ref="E17">INDEX('US State Breakdown'!$I$5:$I$55,MATCH($B17,'US State Breakdown'!$B$5:$B$55,0))</f>
        <v>2.855264922</v>
      </c>
      <c r="F17" s="28">
        <f t="array" ref="F17">INDEX('US State Breakdown'!$J$5:$J$55,MATCH($B17,'US State Breakdown'!$B$5:$B$55,0))</f>
        <v>5.710529844</v>
      </c>
    </row>
    <row r="18">
      <c r="B18" s="9" t="s">
        <v>144</v>
      </c>
      <c r="C18" s="28">
        <f t="array" ref="C18">INDEX('US State Breakdown'!$G$5:$G$55,MATCH($B18,'US State Breakdown'!$B$5:$B$55,0))</f>
        <v>458.6120906</v>
      </c>
      <c r="D18" s="28">
        <f t="array" ref="D18">INDEX('US State Breakdown'!$H$5:$H$55,MATCH($B18,'US State Breakdown'!$B$5:$B$55,0))</f>
        <v>183.4448362</v>
      </c>
      <c r="E18" s="28">
        <f t="array" ref="E18">INDEX('US State Breakdown'!$I$5:$I$55,MATCH($B18,'US State Breakdown'!$B$5:$B$55,0))</f>
        <v>2.751672544</v>
      </c>
      <c r="F18" s="28">
        <f t="array" ref="F18">INDEX('US State Breakdown'!$J$5:$J$55,MATCH($B18,'US State Breakdown'!$B$5:$B$55,0))</f>
        <v>5.503345087</v>
      </c>
    </row>
    <row r="19">
      <c r="B19" s="9" t="s">
        <v>153</v>
      </c>
      <c r="C19" s="28">
        <f t="array" ref="C19">INDEX('US State Breakdown'!$G$5:$G$55,MATCH($B19,'US State Breakdown'!$B$5:$B$55,0))</f>
        <v>402.7307854</v>
      </c>
      <c r="D19" s="28">
        <f t="array" ref="D19">INDEX('US State Breakdown'!$H$5:$H$55,MATCH($B19,'US State Breakdown'!$B$5:$B$55,0))</f>
        <v>161.0923142</v>
      </c>
      <c r="E19" s="28">
        <f t="array" ref="E19">INDEX('US State Breakdown'!$I$5:$I$55,MATCH($B19,'US State Breakdown'!$B$5:$B$55,0))</f>
        <v>2.416384713</v>
      </c>
      <c r="F19" s="28">
        <f t="array" ref="F19">INDEX('US State Breakdown'!$J$5:$J$55,MATCH($B19,'US State Breakdown'!$B$5:$B$55,0))</f>
        <v>4.832769425</v>
      </c>
    </row>
    <row r="20">
      <c r="B20" s="9" t="s">
        <v>162</v>
      </c>
      <c r="C20" s="28">
        <f t="array" ref="C20">INDEX('US State Breakdown'!$G$5:$G$55,MATCH($B20,'US State Breakdown'!$B$5:$B$55,0))</f>
        <v>389.2421945</v>
      </c>
      <c r="D20" s="28">
        <f t="array" ref="D20">INDEX('US State Breakdown'!$H$5:$H$55,MATCH($B20,'US State Breakdown'!$B$5:$B$55,0))</f>
        <v>155.6968778</v>
      </c>
      <c r="E20" s="28">
        <f t="array" ref="E20">INDEX('US State Breakdown'!$I$5:$I$55,MATCH($B20,'US State Breakdown'!$B$5:$B$55,0))</f>
        <v>2.335453167</v>
      </c>
      <c r="F20" s="28">
        <f t="array" ref="F20">INDEX('US State Breakdown'!$J$5:$J$55,MATCH($B20,'US State Breakdown'!$B$5:$B$55,0))</f>
        <v>4.670906335</v>
      </c>
    </row>
    <row r="21" ht="15.75" customHeight="1">
      <c r="B21" s="9" t="s">
        <v>166</v>
      </c>
      <c r="C21" s="28">
        <f t="array" ref="C21">INDEX('US State Breakdown'!$G$5:$G$55,MATCH($B21,'US State Breakdown'!$B$5:$B$55,0))</f>
        <v>381.5344283</v>
      </c>
      <c r="D21" s="28">
        <f t="array" ref="D21">INDEX('US State Breakdown'!$H$5:$H$55,MATCH($B21,'US State Breakdown'!$B$5:$B$55,0))</f>
        <v>152.6137713</v>
      </c>
      <c r="E21" s="28">
        <f t="array" ref="E21">INDEX('US State Breakdown'!$I$5:$I$55,MATCH($B21,'US State Breakdown'!$B$5:$B$55,0))</f>
        <v>2.28920657</v>
      </c>
      <c r="F21" s="28">
        <f t="array" ref="F21">INDEX('US State Breakdown'!$J$5:$J$55,MATCH($B21,'US State Breakdown'!$B$5:$B$55,0))</f>
        <v>4.57841314</v>
      </c>
    </row>
    <row r="22" ht="15.75" customHeight="1"/>
    <row r="23" ht="15.75" customHeight="1"/>
    <row r="24" ht="18.0" customHeight="1">
      <c r="B24" s="6" t="s">
        <v>168</v>
      </c>
      <c r="C24" s="7"/>
      <c r="D24" s="7"/>
      <c r="E24" s="7"/>
      <c r="F24" s="8"/>
    </row>
    <row r="25" ht="24.0" customHeight="1">
      <c r="A25" s="5"/>
      <c r="B25" s="5" t="s">
        <v>169</v>
      </c>
      <c r="C25" s="5" t="s">
        <v>154</v>
      </c>
      <c r="D25" s="5" t="s">
        <v>155</v>
      </c>
      <c r="E25" s="5" t="s">
        <v>156</v>
      </c>
      <c r="F25" s="5" t="s">
        <v>157</v>
      </c>
    </row>
    <row r="26" ht="15.75" customHeight="1">
      <c r="B26" s="9" t="s">
        <v>158</v>
      </c>
      <c r="C26" s="28">
        <f t="array" ref="C26">INDEX('Canada Province Breakdown'!$G$5:$G$17,MATCH($B26,'Canada Province Breakdown'!$B$5:$B$17,0))</f>
        <v>165.1580807</v>
      </c>
      <c r="D26" s="28">
        <f t="array" ref="D26">INDEX('Canada Province Breakdown'!$H$5:$H$17,MATCH($B26,'Canada Province Breakdown'!$B$5:$B$17,0))</f>
        <v>66.06323229</v>
      </c>
      <c r="E26" s="28">
        <f t="array" ref="E26">INDEX('Canada Province Breakdown'!$I$5:$I$17,MATCH($B26,'Canada Province Breakdown'!$B$5:$B$17,0))</f>
        <v>0.9909484843</v>
      </c>
      <c r="F26" s="28">
        <f t="array" ref="F26">INDEX('Canada Province Breakdown'!$J$5:$J$17,MATCH($B26,'Canada Province Breakdown'!$B$5:$B$17,0))</f>
        <v>1.981896969</v>
      </c>
    </row>
    <row r="27" ht="15.75" customHeight="1">
      <c r="B27" s="9" t="s">
        <v>165</v>
      </c>
      <c r="C27" s="28">
        <f t="array" ref="C27">INDEX('Canada Province Breakdown'!$G$5:$G$17,MATCH($B27,'Canada Province Breakdown'!$B$5:$B$17,0))</f>
        <v>97.92850888</v>
      </c>
      <c r="D27" s="28">
        <f t="array" ref="D27">INDEX('Canada Province Breakdown'!$H$5:$H$17,MATCH($B27,'Canada Province Breakdown'!$B$5:$B$17,0))</f>
        <v>39.17140355</v>
      </c>
      <c r="E27" s="28">
        <f t="array" ref="E27">INDEX('Canada Province Breakdown'!$I$5:$I$17,MATCH($B27,'Canada Province Breakdown'!$B$5:$B$17,0))</f>
        <v>0.5875710533</v>
      </c>
      <c r="F27" s="28">
        <f t="array" ref="F27">INDEX('Canada Province Breakdown'!$J$5:$J$17,MATCH($B27,'Canada Province Breakdown'!$B$5:$B$17,0))</f>
        <v>1.175142107</v>
      </c>
    </row>
    <row r="28" ht="15.75" customHeight="1">
      <c r="B28" s="9" t="s">
        <v>167</v>
      </c>
      <c r="C28" s="28">
        <f t="array" ref="C28">INDEX('Canada Province Breakdown'!$G$5:$G$17,MATCH($B28,'Canada Province Breakdown'!$B$5:$B$17,0))</f>
        <v>61.61793817</v>
      </c>
      <c r="D28" s="28">
        <f t="array" ref="D28">INDEX('Canada Province Breakdown'!$H$5:$H$17,MATCH($B28,'Canada Province Breakdown'!$B$5:$B$17,0))</f>
        <v>24.64717527</v>
      </c>
      <c r="E28" s="28">
        <f t="array" ref="E28">INDEX('Canada Province Breakdown'!$I$5:$I$17,MATCH($B28,'Canada Province Breakdown'!$B$5:$B$17,0))</f>
        <v>0.369707629</v>
      </c>
      <c r="F28" s="28">
        <f t="array" ref="F28">INDEX('Canada Province Breakdown'!$J$5:$J$17,MATCH($B28,'Canada Province Breakdown'!$B$5:$B$17,0))</f>
        <v>0.7394152581</v>
      </c>
    </row>
    <row r="29" ht="15.75" customHeight="1">
      <c r="B29" s="9" t="s">
        <v>170</v>
      </c>
      <c r="C29" s="28">
        <f t="array" ref="C29">INDEX('Canada Province Breakdown'!$G$5:$G$17,MATCH($B29,'Canada Province Breakdown'!$B$5:$B$17,0))</f>
        <v>51.75906807</v>
      </c>
      <c r="D29" s="28">
        <f t="array" ref="D29">INDEX('Canada Province Breakdown'!$H$5:$H$17,MATCH($B29,'Canada Province Breakdown'!$B$5:$B$17,0))</f>
        <v>20.70362723</v>
      </c>
      <c r="E29" s="28">
        <f t="array" ref="E29">INDEX('Canada Province Breakdown'!$I$5:$I$17,MATCH($B29,'Canada Province Breakdown'!$B$5:$B$17,0))</f>
        <v>0.3105544084</v>
      </c>
      <c r="F29" s="28">
        <f t="array" ref="F29">INDEX('Canada Province Breakdown'!$J$5:$J$17,MATCH($B29,'Canada Province Breakdown'!$B$5:$B$17,0))</f>
        <v>0.6211088168</v>
      </c>
    </row>
    <row r="30" ht="15.75" customHeight="1">
      <c r="B30" s="9" t="s">
        <v>171</v>
      </c>
      <c r="C30" s="28">
        <f t="array" ref="C30">INDEX('Canada Province Breakdown'!$G$5:$G$17,MATCH($B30,'Canada Province Breakdown'!$B$5:$B$17,0))</f>
        <v>17.33004511</v>
      </c>
      <c r="D30" s="28">
        <f t="array" ref="D30">INDEX('Canada Province Breakdown'!$H$5:$H$17,MATCH($B30,'Canada Province Breakdown'!$B$5:$B$17,0))</f>
        <v>6.932018045</v>
      </c>
      <c r="E30" s="28">
        <f t="array" ref="E30">INDEX('Canada Province Breakdown'!$I$5:$I$17,MATCH($B30,'Canada Province Breakdown'!$B$5:$B$17,0))</f>
        <v>0.1039802707</v>
      </c>
      <c r="F30" s="28">
        <f t="array" ref="F30">INDEX('Canada Province Breakdown'!$J$5:$J$17,MATCH($B30,'Canada Province Breakdown'!$B$5:$B$17,0))</f>
        <v>0.2079605413</v>
      </c>
    </row>
    <row r="31" ht="15.75" customHeight="1"/>
    <row r="32" ht="15.75" customHeight="1"/>
    <row r="33" ht="15.0" customHeight="1">
      <c r="B33" s="41" t="s">
        <v>176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B10:F10"/>
    <mergeCell ref="B24:F24"/>
    <mergeCell ref="B33:F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95.0"/>
    <col customWidth="1" min="4" max="26" width="8.71"/>
  </cols>
  <sheetData>
    <row r="1" ht="25.5" customHeight="1">
      <c r="A1" s="1" t="s">
        <v>0</v>
      </c>
    </row>
    <row r="2">
      <c r="A2" s="2" t="s">
        <v>4</v>
      </c>
    </row>
    <row r="4">
      <c r="B4" s="3"/>
      <c r="C4" s="4"/>
    </row>
    <row r="5" ht="18.0" customHeight="1">
      <c r="A5" s="6" t="s">
        <v>8</v>
      </c>
      <c r="B5" s="7"/>
      <c r="C5" s="8"/>
    </row>
    <row r="6">
      <c r="B6" s="3" t="s">
        <v>15</v>
      </c>
      <c r="C6" s="4" t="s">
        <v>18</v>
      </c>
    </row>
    <row r="7">
      <c r="B7" s="3" t="s">
        <v>10</v>
      </c>
      <c r="C7" s="4" t="s">
        <v>22</v>
      </c>
    </row>
    <row r="8">
      <c r="B8" s="3" t="s">
        <v>24</v>
      </c>
      <c r="C8" s="4" t="s">
        <v>26</v>
      </c>
    </row>
    <row r="9">
      <c r="B9" s="3"/>
      <c r="C9" s="4"/>
    </row>
    <row r="10" ht="18.0" customHeight="1">
      <c r="A10" s="6" t="s">
        <v>28</v>
      </c>
      <c r="B10" s="7"/>
      <c r="C10" s="8"/>
    </row>
    <row r="11">
      <c r="B11" s="3" t="s">
        <v>31</v>
      </c>
      <c r="C11" s="4" t="s">
        <v>32</v>
      </c>
    </row>
    <row r="12">
      <c r="B12" s="3" t="s">
        <v>35</v>
      </c>
      <c r="C12" s="4" t="s">
        <v>36</v>
      </c>
    </row>
    <row r="13">
      <c r="B13" s="3" t="s">
        <v>38</v>
      </c>
      <c r="C13" s="4" t="s">
        <v>40</v>
      </c>
    </row>
    <row r="14">
      <c r="B14" s="3"/>
      <c r="C14" s="4"/>
    </row>
    <row r="15" ht="18.0" customHeight="1">
      <c r="A15" s="6" t="s">
        <v>41</v>
      </c>
      <c r="B15" s="7"/>
      <c r="C15" s="8"/>
    </row>
    <row r="16">
      <c r="B16" s="3" t="s">
        <v>45</v>
      </c>
      <c r="C16" s="4" t="s">
        <v>47</v>
      </c>
    </row>
    <row r="17">
      <c r="B17" s="3" t="s">
        <v>48</v>
      </c>
      <c r="C17" s="4" t="s">
        <v>49</v>
      </c>
    </row>
    <row r="18">
      <c r="B18" s="3"/>
      <c r="C18" s="4"/>
    </row>
    <row r="19" ht="18.0" customHeight="1">
      <c r="A19" s="6" t="s">
        <v>52</v>
      </c>
      <c r="B19" s="7"/>
      <c r="C19" s="8"/>
    </row>
    <row r="20">
      <c r="B20" s="3" t="s">
        <v>56</v>
      </c>
      <c r="C20" s="4" t="s">
        <v>58</v>
      </c>
    </row>
    <row r="21" ht="15.75" customHeight="1">
      <c r="B21" s="3" t="s">
        <v>59</v>
      </c>
      <c r="C21" s="4" t="s">
        <v>61</v>
      </c>
    </row>
    <row r="22" ht="15.75" customHeight="1">
      <c r="B22" s="3" t="s">
        <v>62</v>
      </c>
      <c r="C22" s="4" t="s">
        <v>64</v>
      </c>
    </row>
    <row r="23" ht="15.75" customHeight="1">
      <c r="B23" s="3" t="s">
        <v>66</v>
      </c>
      <c r="C23" s="4" t="s">
        <v>69</v>
      </c>
    </row>
    <row r="24" ht="15.75" customHeight="1">
      <c r="B24" s="3" t="s">
        <v>73</v>
      </c>
      <c r="C24" s="4" t="s">
        <v>74</v>
      </c>
    </row>
    <row r="25" ht="15.75" customHeight="1">
      <c r="B25" s="3" t="s">
        <v>76</v>
      </c>
      <c r="C25" s="4" t="s">
        <v>78</v>
      </c>
    </row>
    <row r="26" ht="15.75" customHeight="1">
      <c r="B26" s="3"/>
      <c r="C26" s="4"/>
    </row>
    <row r="27" ht="18.0" customHeight="1">
      <c r="A27" s="6" t="s">
        <v>79</v>
      </c>
      <c r="B27" s="7"/>
      <c r="C27" s="8"/>
    </row>
    <row r="28" ht="15.75" customHeight="1">
      <c r="B28" s="3" t="s">
        <v>80</v>
      </c>
      <c r="C28" s="4" t="s">
        <v>81</v>
      </c>
    </row>
    <row r="29" ht="15.75" customHeight="1">
      <c r="B29" s="3" t="s">
        <v>82</v>
      </c>
      <c r="C29" s="4" t="s">
        <v>83</v>
      </c>
    </row>
    <row r="30" ht="15.75" customHeight="1">
      <c r="B30" s="3" t="s">
        <v>84</v>
      </c>
      <c r="C30" s="4" t="s">
        <v>86</v>
      </c>
    </row>
    <row r="31" ht="15.75" customHeight="1">
      <c r="B31" s="3" t="s">
        <v>87</v>
      </c>
      <c r="C31" s="4" t="s">
        <v>88</v>
      </c>
    </row>
    <row r="32" ht="15.75" customHeight="1">
      <c r="B32" s="3"/>
      <c r="C32" s="4"/>
    </row>
    <row r="33" ht="15.75" customHeight="1">
      <c r="B33" s="3"/>
      <c r="C33" s="4" t="s">
        <v>91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2:C2"/>
    <mergeCell ref="A5:C5"/>
    <mergeCell ref="A10:C10"/>
    <mergeCell ref="A15:C15"/>
    <mergeCell ref="A19:C19"/>
    <mergeCell ref="A27:C2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6.0"/>
    <col customWidth="1" min="3" max="3" width="16.0"/>
    <col customWidth="1" min="4" max="4" width="45.0"/>
    <col customWidth="1" min="5" max="26" width="8.71"/>
  </cols>
  <sheetData>
    <row r="1" ht="25.5" customHeight="1">
      <c r="A1" s="1" t="s">
        <v>3</v>
      </c>
    </row>
    <row r="2">
      <c r="A2" s="2" t="s">
        <v>6</v>
      </c>
    </row>
    <row r="4" ht="18.0" customHeight="1">
      <c r="A4" s="5"/>
      <c r="B4" s="5" t="s">
        <v>12</v>
      </c>
      <c r="C4" s="5" t="s">
        <v>16</v>
      </c>
      <c r="D4" s="5" t="s">
        <v>20</v>
      </c>
    </row>
    <row r="5" ht="30.0" customHeight="1">
      <c r="B5" s="9" t="s">
        <v>23</v>
      </c>
      <c r="C5" s="10">
        <v>5400.0</v>
      </c>
      <c r="D5" s="12" t="s">
        <v>29</v>
      </c>
    </row>
    <row r="6" ht="30.0" customHeight="1">
      <c r="B6" s="9" t="s">
        <v>34</v>
      </c>
      <c r="C6" s="10">
        <v>372.0</v>
      </c>
      <c r="D6" s="12" t="s">
        <v>37</v>
      </c>
    </row>
    <row r="7" ht="30.0" customHeight="1">
      <c r="B7" s="9" t="s">
        <v>39</v>
      </c>
      <c r="C7" s="13">
        <v>0.73</v>
      </c>
      <c r="D7" s="12" t="s">
        <v>42</v>
      </c>
    </row>
    <row r="8" ht="30.0" customHeight="1">
      <c r="B8" s="9" t="s">
        <v>43</v>
      </c>
      <c r="C8" s="16">
        <v>0.25</v>
      </c>
      <c r="D8" s="12" t="s">
        <v>50</v>
      </c>
    </row>
    <row r="9" ht="30.0" customHeight="1">
      <c r="B9" s="9" t="s">
        <v>51</v>
      </c>
      <c r="C9" s="16">
        <v>0.17</v>
      </c>
      <c r="D9" s="12" t="s">
        <v>54</v>
      </c>
    </row>
    <row r="10" ht="30.0" customHeight="1">
      <c r="B10" s="9" t="s">
        <v>57</v>
      </c>
      <c r="C10" s="16">
        <v>0.08</v>
      </c>
      <c r="D10" s="12" t="s">
        <v>60</v>
      </c>
    </row>
    <row r="11" ht="30.0" customHeight="1">
      <c r="B11" s="9" t="s">
        <v>63</v>
      </c>
      <c r="C11" s="16">
        <v>0.12</v>
      </c>
      <c r="D11" s="12" t="s">
        <v>67</v>
      </c>
    </row>
    <row r="12" ht="30.0" customHeight="1">
      <c r="B12" s="9" t="s">
        <v>71</v>
      </c>
      <c r="C12" s="16">
        <v>0.4</v>
      </c>
      <c r="D12" s="12" t="s">
        <v>75</v>
      </c>
    </row>
    <row r="13" ht="30.0" customHeight="1">
      <c r="B13" s="9" t="s">
        <v>77</v>
      </c>
      <c r="C13" s="23">
        <v>0.015</v>
      </c>
      <c r="D13" s="12" t="s">
        <v>89</v>
      </c>
    </row>
    <row r="14" ht="30.0" customHeight="1">
      <c r="B14" s="9" t="s">
        <v>90</v>
      </c>
      <c r="C14" s="23">
        <v>0.03</v>
      </c>
      <c r="D14" s="12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3" width="18.0"/>
    <col customWidth="1" min="4" max="4" width="45.0"/>
    <col customWidth="1" min="5" max="26" width="8.71"/>
  </cols>
  <sheetData>
    <row r="1" ht="25.5" customHeight="1">
      <c r="A1" s="1" t="s">
        <v>2</v>
      </c>
    </row>
    <row r="2">
      <c r="A2" s="2" t="s">
        <v>5</v>
      </c>
    </row>
    <row r="4" ht="18.0" customHeight="1">
      <c r="A4" s="5"/>
      <c r="B4" s="5" t="s">
        <v>9</v>
      </c>
      <c r="C4" s="5" t="s">
        <v>11</v>
      </c>
      <c r="D4" s="5" t="s">
        <v>14</v>
      </c>
    </row>
    <row r="5">
      <c r="B5" s="9" t="s">
        <v>19</v>
      </c>
      <c r="C5" s="14">
        <f>Assumptions!$C$5</f>
        <v>5400</v>
      </c>
      <c r="D5" s="12" t="s">
        <v>44</v>
      </c>
    </row>
    <row r="6">
      <c r="B6" s="9" t="s">
        <v>46</v>
      </c>
      <c r="C6" s="17">
        <f>Assumptions!$C$8</f>
        <v>0.25</v>
      </c>
      <c r="D6" s="12" t="s">
        <v>53</v>
      </c>
    </row>
    <row r="7">
      <c r="B7" s="18" t="s">
        <v>55</v>
      </c>
      <c r="C7" s="19">
        <f>C5*C6</f>
        <v>1350</v>
      </c>
      <c r="D7" s="21" t="s">
        <v>72</v>
      </c>
    </row>
    <row r="9">
      <c r="B9" s="9" t="s">
        <v>85</v>
      </c>
      <c r="C9" s="17">
        <f>Assumptions!$C$10</f>
        <v>0.08</v>
      </c>
      <c r="D9" s="12" t="s">
        <v>96</v>
      </c>
    </row>
    <row r="10">
      <c r="B10" s="18" t="s">
        <v>97</v>
      </c>
      <c r="C10" s="19">
        <f>C7*C9</f>
        <v>108</v>
      </c>
      <c r="D10" s="21" t="s">
        <v>98</v>
      </c>
    </row>
    <row r="12">
      <c r="B12" s="9" t="s">
        <v>100</v>
      </c>
      <c r="C12" s="17">
        <f>Assumptions!$C$11</f>
        <v>0.12</v>
      </c>
      <c r="D12" s="12" t="s">
        <v>101</v>
      </c>
    </row>
    <row r="13">
      <c r="B13" s="24" t="s">
        <v>103</v>
      </c>
      <c r="C13" s="26">
        <f>C10*C12</f>
        <v>12.96</v>
      </c>
      <c r="D13" s="27" t="s">
        <v>109</v>
      </c>
    </row>
    <row r="15">
      <c r="B15" s="9" t="s">
        <v>110</v>
      </c>
      <c r="C15" s="17">
        <f>Assumptions!$C$12</f>
        <v>0.4</v>
      </c>
      <c r="D15" s="12" t="s">
        <v>111</v>
      </c>
    </row>
    <row r="16">
      <c r="B16" s="24" t="s">
        <v>112</v>
      </c>
      <c r="C16" s="26">
        <f>C13*C15</f>
        <v>5.184</v>
      </c>
      <c r="D16" s="27" t="s">
        <v>113</v>
      </c>
    </row>
    <row r="18">
      <c r="B18" s="9" t="s">
        <v>114</v>
      </c>
      <c r="C18" s="29">
        <f>Assumptions!$C$13</f>
        <v>0.015</v>
      </c>
      <c r="D18" s="12" t="s">
        <v>115</v>
      </c>
    </row>
    <row r="19">
      <c r="B19" s="24" t="s">
        <v>116</v>
      </c>
      <c r="C19" s="26">
        <f>C16*C18</f>
        <v>0.07776</v>
      </c>
      <c r="D19" s="27" t="s">
        <v>117</v>
      </c>
    </row>
    <row r="20">
      <c r="B20" s="9" t="s">
        <v>118</v>
      </c>
      <c r="C20" s="29">
        <f>Assumptions!$C$14</f>
        <v>0.03</v>
      </c>
      <c r="D20" s="12" t="s">
        <v>120</v>
      </c>
    </row>
    <row r="21" ht="15.75" customHeight="1">
      <c r="B21" s="24" t="s">
        <v>121</v>
      </c>
      <c r="C21" s="26">
        <f>C16*C20</f>
        <v>0.15552</v>
      </c>
      <c r="D21" s="27" t="s">
        <v>122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6.0"/>
    <col customWidth="1" min="4" max="4" width="12.0"/>
    <col customWidth="1" min="5" max="10" width="14.0"/>
    <col customWidth="1" min="11" max="26" width="8.71"/>
  </cols>
  <sheetData>
    <row r="1" ht="25.5" customHeight="1">
      <c r="A1" s="1" t="s">
        <v>124</v>
      </c>
    </row>
    <row r="2">
      <c r="A2" s="2" t="s">
        <v>125</v>
      </c>
    </row>
    <row r="4" ht="31.5" customHeight="1">
      <c r="A4" s="5"/>
      <c r="B4" s="5" t="s">
        <v>102</v>
      </c>
      <c r="C4" s="5" t="s">
        <v>127</v>
      </c>
      <c r="D4" s="5" t="s">
        <v>129</v>
      </c>
      <c r="E4" s="5" t="s">
        <v>131</v>
      </c>
      <c r="F4" s="5" t="s">
        <v>132</v>
      </c>
      <c r="G4" s="5" t="s">
        <v>104</v>
      </c>
      <c r="H4" s="5" t="s">
        <v>105</v>
      </c>
      <c r="I4" s="5" t="s">
        <v>106</v>
      </c>
      <c r="J4" s="5" t="s">
        <v>107</v>
      </c>
    </row>
    <row r="5">
      <c r="B5" s="9" t="s">
        <v>108</v>
      </c>
      <c r="C5" s="30">
        <v>39.0</v>
      </c>
      <c r="D5" s="31">
        <f t="shared" ref="D5:D55" si="1">C5/SUM($C$5:$C$55)</f>
        <v>0.1150951749</v>
      </c>
      <c r="E5" s="32">
        <v>1.05</v>
      </c>
      <c r="F5" s="33">
        <f t="shared" ref="F5:F55" si="2">D5*E5</f>
        <v>0.1208499336</v>
      </c>
      <c r="G5" s="34">
        <f>($F5/$F$57)*'US National Model'!$C$13*1000</f>
        <v>1578.165135</v>
      </c>
      <c r="H5" s="34">
        <f>($F5/$F$57)*'US National Model'!$C$16*1000</f>
        <v>631.2660541</v>
      </c>
      <c r="I5" s="34">
        <f>($F5/$F$57)*'US National Model'!$C$19*1000</f>
        <v>9.468990812</v>
      </c>
      <c r="J5" s="28">
        <f>($F5/$F$57)*'US National Model'!$C$21*1000</f>
        <v>18.93798162</v>
      </c>
    </row>
    <row r="6">
      <c r="B6" s="20" t="s">
        <v>119</v>
      </c>
      <c r="C6" s="35">
        <v>31.3</v>
      </c>
      <c r="D6" s="36">
        <f t="shared" si="1"/>
        <v>0.09237125572</v>
      </c>
      <c r="E6" s="37">
        <v>0.9</v>
      </c>
      <c r="F6" s="38">
        <f t="shared" si="2"/>
        <v>0.08313413015</v>
      </c>
      <c r="G6" s="39">
        <f>($F6/$F$57)*'US National Model'!$C$13*1000</f>
        <v>1085.638873</v>
      </c>
      <c r="H6" s="39">
        <f>($F6/$F$57)*'US National Model'!$C$16*1000</f>
        <v>434.2555493</v>
      </c>
      <c r="I6" s="39">
        <f>($F6/$F$57)*'US National Model'!$C$19*1000</f>
        <v>6.51383324</v>
      </c>
      <c r="J6" s="40">
        <f>($F6/$F$57)*'US National Model'!$C$21*1000</f>
        <v>13.02766648</v>
      </c>
    </row>
    <row r="7">
      <c r="B7" s="9" t="s">
        <v>126</v>
      </c>
      <c r="C7" s="30">
        <v>23.4</v>
      </c>
      <c r="D7" s="31">
        <f t="shared" si="1"/>
        <v>0.06905710491</v>
      </c>
      <c r="E7" s="32">
        <v>1.02</v>
      </c>
      <c r="F7" s="33">
        <f t="shared" si="2"/>
        <v>0.07043824701</v>
      </c>
      <c r="G7" s="34">
        <f>($F7/$F$57)*'US National Model'!$C$13*1000</f>
        <v>919.8448217</v>
      </c>
      <c r="H7" s="34">
        <f>($F7/$F$57)*'US National Model'!$C$16*1000</f>
        <v>367.9379287</v>
      </c>
      <c r="I7" s="34">
        <f>($F7/$F$57)*'US National Model'!$C$19*1000</f>
        <v>5.51906893</v>
      </c>
      <c r="J7" s="28">
        <f>($F7/$F$57)*'US National Model'!$C$21*1000</f>
        <v>11.03813786</v>
      </c>
    </row>
    <row r="8">
      <c r="B8" s="20" t="s">
        <v>123</v>
      </c>
      <c r="C8" s="35">
        <v>19.9</v>
      </c>
      <c r="D8" s="36">
        <f t="shared" si="1"/>
        <v>0.05872805076</v>
      </c>
      <c r="E8" s="37">
        <v>1.22</v>
      </c>
      <c r="F8" s="38">
        <f t="shared" si="2"/>
        <v>0.07164822193</v>
      </c>
      <c r="G8" s="39">
        <f>($F8/$F$57)*'US National Model'!$C$13*1000</f>
        <v>935.6457425</v>
      </c>
      <c r="H8" s="39">
        <f>($F8/$F$57)*'US National Model'!$C$16*1000</f>
        <v>374.258297</v>
      </c>
      <c r="I8" s="39">
        <f>($F8/$F$57)*'US National Model'!$C$19*1000</f>
        <v>5.613874455</v>
      </c>
      <c r="J8" s="40">
        <f>($F8/$F$57)*'US National Model'!$C$21*1000</f>
        <v>11.22774891</v>
      </c>
    </row>
    <row r="9">
      <c r="B9" s="9" t="s">
        <v>136</v>
      </c>
      <c r="C9" s="30">
        <v>13.1</v>
      </c>
      <c r="D9" s="31">
        <f t="shared" si="1"/>
        <v>0.03866017412</v>
      </c>
      <c r="E9" s="32">
        <v>1.05</v>
      </c>
      <c r="F9" s="33">
        <f t="shared" si="2"/>
        <v>0.04059318282</v>
      </c>
      <c r="G9" s="34">
        <f>($F9/$F$57)*'US National Model'!$C$13*1000</f>
        <v>530.1016224</v>
      </c>
      <c r="H9" s="34">
        <f>($F9/$F$57)*'US National Model'!$C$16*1000</f>
        <v>212.040649</v>
      </c>
      <c r="I9" s="34">
        <f>($F9/$F$57)*'US National Model'!$C$19*1000</f>
        <v>3.180609734</v>
      </c>
      <c r="J9" s="28">
        <f>($F9/$F$57)*'US National Model'!$C$21*1000</f>
        <v>6.361219469</v>
      </c>
    </row>
    <row r="10">
      <c r="B10" s="20" t="s">
        <v>140</v>
      </c>
      <c r="C10" s="35">
        <v>12.6</v>
      </c>
      <c r="D10" s="36">
        <f t="shared" si="1"/>
        <v>0.03718459495</v>
      </c>
      <c r="E10" s="37">
        <v>0.98</v>
      </c>
      <c r="F10" s="38">
        <f t="shared" si="2"/>
        <v>0.03644090305</v>
      </c>
      <c r="G10" s="39">
        <f>($F10/$F$57)*'US National Model'!$C$13*1000</f>
        <v>475.877487</v>
      </c>
      <c r="H10" s="39">
        <f>($F10/$F$57)*'US National Model'!$C$16*1000</f>
        <v>190.3509948</v>
      </c>
      <c r="I10" s="39">
        <f>($F10/$F$57)*'US National Model'!$C$19*1000</f>
        <v>2.855264922</v>
      </c>
      <c r="J10" s="40">
        <f>($F10/$F$57)*'US National Model'!$C$21*1000</f>
        <v>5.710529844</v>
      </c>
    </row>
    <row r="11">
      <c r="B11" s="9" t="s">
        <v>144</v>
      </c>
      <c r="C11" s="30">
        <v>11.9</v>
      </c>
      <c r="D11" s="31">
        <f t="shared" si="1"/>
        <v>0.03511878412</v>
      </c>
      <c r="E11" s="32">
        <v>1.0</v>
      </c>
      <c r="F11" s="33">
        <f t="shared" si="2"/>
        <v>0.03511878412</v>
      </c>
      <c r="G11" s="34">
        <f>($F11/$F$57)*'US National Model'!$C$13*1000</f>
        <v>458.6120906</v>
      </c>
      <c r="H11" s="34">
        <f>($F11/$F$57)*'US National Model'!$C$16*1000</f>
        <v>183.4448362</v>
      </c>
      <c r="I11" s="34">
        <f>($F11/$F$57)*'US National Model'!$C$19*1000</f>
        <v>2.751672544</v>
      </c>
      <c r="J11" s="28">
        <f>($F11/$F$57)*'US National Model'!$C$21*1000</f>
        <v>5.503345087</v>
      </c>
    </row>
    <row r="12">
      <c r="B12" s="20" t="s">
        <v>172</v>
      </c>
      <c r="C12" s="35">
        <v>11.2</v>
      </c>
      <c r="D12" s="36">
        <f t="shared" si="1"/>
        <v>0.03305297329</v>
      </c>
      <c r="E12" s="37">
        <v>0.82</v>
      </c>
      <c r="F12" s="38">
        <f t="shared" si="2"/>
        <v>0.0271034381</v>
      </c>
      <c r="G12" s="39">
        <f>($F12/$F$57)*'US National Model'!$C$13*1000</f>
        <v>353.9406252</v>
      </c>
      <c r="H12" s="39">
        <f>($F12/$F$57)*'US National Model'!$C$16*1000</f>
        <v>141.5762501</v>
      </c>
      <c r="I12" s="39">
        <f>($F12/$F$57)*'US National Model'!$C$19*1000</f>
        <v>2.123643751</v>
      </c>
      <c r="J12" s="40">
        <f>($F12/$F$57)*'US National Model'!$C$21*1000</f>
        <v>4.247287503</v>
      </c>
    </row>
    <row r="13">
      <c r="B13" s="9" t="s">
        <v>166</v>
      </c>
      <c r="C13" s="30">
        <v>11.0</v>
      </c>
      <c r="D13" s="31">
        <f t="shared" si="1"/>
        <v>0.03246274163</v>
      </c>
      <c r="E13" s="32">
        <v>0.9</v>
      </c>
      <c r="F13" s="33">
        <f t="shared" si="2"/>
        <v>0.02921646746</v>
      </c>
      <c r="G13" s="34">
        <f>($F13/$F$57)*'US National Model'!$C$13*1000</f>
        <v>381.5344283</v>
      </c>
      <c r="H13" s="34">
        <f>($F13/$F$57)*'US National Model'!$C$16*1000</f>
        <v>152.6137713</v>
      </c>
      <c r="I13" s="34">
        <f>($F13/$F$57)*'US National Model'!$C$19*1000</f>
        <v>2.28920657</v>
      </c>
      <c r="J13" s="28">
        <f>($F13/$F$57)*'US National Model'!$C$21*1000</f>
        <v>4.57841314</v>
      </c>
    </row>
    <row r="14">
      <c r="B14" s="20" t="s">
        <v>162</v>
      </c>
      <c r="C14" s="35">
        <v>10.1</v>
      </c>
      <c r="D14" s="36">
        <f t="shared" si="1"/>
        <v>0.02980669913</v>
      </c>
      <c r="E14" s="37">
        <v>1.0</v>
      </c>
      <c r="F14" s="38">
        <f t="shared" si="2"/>
        <v>0.02980669913</v>
      </c>
      <c r="G14" s="39">
        <f>($F14/$F$57)*'US National Model'!$C$13*1000</f>
        <v>389.2421945</v>
      </c>
      <c r="H14" s="39">
        <f>($F14/$F$57)*'US National Model'!$C$16*1000</f>
        <v>155.6968778</v>
      </c>
      <c r="I14" s="39">
        <f>($F14/$F$57)*'US National Model'!$C$19*1000</f>
        <v>2.335453167</v>
      </c>
      <c r="J14" s="40">
        <f>($F14/$F$57)*'US National Model'!$C$21*1000</f>
        <v>4.670906335</v>
      </c>
    </row>
    <row r="15">
      <c r="B15" s="9" t="s">
        <v>153</v>
      </c>
      <c r="C15" s="30">
        <v>9.5</v>
      </c>
      <c r="D15" s="31">
        <f t="shared" si="1"/>
        <v>0.02803600413</v>
      </c>
      <c r="E15" s="32">
        <v>1.1</v>
      </c>
      <c r="F15" s="33">
        <f t="shared" si="2"/>
        <v>0.03083960454</v>
      </c>
      <c r="G15" s="34">
        <f>($F15/$F$57)*'US National Model'!$C$13*1000</f>
        <v>402.7307854</v>
      </c>
      <c r="H15" s="34">
        <f>($F15/$F$57)*'US National Model'!$C$16*1000</f>
        <v>161.0923142</v>
      </c>
      <c r="I15" s="34">
        <f>($F15/$F$57)*'US National Model'!$C$19*1000</f>
        <v>2.416384713</v>
      </c>
      <c r="J15" s="28">
        <f>($F15/$F$57)*'US National Model'!$C$21*1000</f>
        <v>4.832769425</v>
      </c>
    </row>
    <row r="16">
      <c r="B16" s="20" t="s">
        <v>178</v>
      </c>
      <c r="C16" s="35">
        <v>8.8</v>
      </c>
      <c r="D16" s="36">
        <f t="shared" si="1"/>
        <v>0.0259701933</v>
      </c>
      <c r="E16" s="37">
        <v>0.92</v>
      </c>
      <c r="F16" s="38">
        <f t="shared" si="2"/>
        <v>0.02389257784</v>
      </c>
      <c r="G16" s="39">
        <f>($F16/$F$57)*'US National Model'!$C$13*1000</f>
        <v>312.0103769</v>
      </c>
      <c r="H16" s="39">
        <f>($F16/$F$57)*'US National Model'!$C$16*1000</f>
        <v>124.8041508</v>
      </c>
      <c r="I16" s="39">
        <f>($F16/$F$57)*'US National Model'!$C$19*1000</f>
        <v>1.872062262</v>
      </c>
      <c r="J16" s="40">
        <f>($F16/$F$57)*'US National Model'!$C$21*1000</f>
        <v>3.744124523</v>
      </c>
    </row>
    <row r="17">
      <c r="B17" s="9" t="s">
        <v>180</v>
      </c>
      <c r="C17" s="30">
        <v>7.9</v>
      </c>
      <c r="D17" s="31">
        <f t="shared" si="1"/>
        <v>0.0233141508</v>
      </c>
      <c r="E17" s="32">
        <v>0.98</v>
      </c>
      <c r="F17" s="33">
        <f t="shared" si="2"/>
        <v>0.02284786779</v>
      </c>
      <c r="G17" s="34">
        <f>($F17/$F$57)*'US National Model'!$C$13*1000</f>
        <v>298.3676307</v>
      </c>
      <c r="H17" s="34">
        <f>($F17/$F$57)*'US National Model'!$C$16*1000</f>
        <v>119.3470523</v>
      </c>
      <c r="I17" s="34">
        <f>($F17/$F$57)*'US National Model'!$C$19*1000</f>
        <v>1.790205784</v>
      </c>
      <c r="J17" s="28">
        <f>($F17/$F$57)*'US National Model'!$C$21*1000</f>
        <v>3.580411569</v>
      </c>
    </row>
    <row r="18">
      <c r="B18" s="20" t="s">
        <v>183</v>
      </c>
      <c r="C18" s="35">
        <v>7.6</v>
      </c>
      <c r="D18" s="36">
        <f t="shared" si="1"/>
        <v>0.02242880331</v>
      </c>
      <c r="E18" s="37">
        <v>0.85</v>
      </c>
      <c r="F18" s="38">
        <f t="shared" si="2"/>
        <v>0.01906448281</v>
      </c>
      <c r="G18" s="39">
        <f>($F18/$F$57)*'US National Model'!$C$13*1000</f>
        <v>248.9608492</v>
      </c>
      <c r="H18" s="39">
        <f>($F18/$F$57)*'US National Model'!$C$16*1000</f>
        <v>99.58433967</v>
      </c>
      <c r="I18" s="39">
        <f>($F18/$F$57)*'US National Model'!$C$19*1000</f>
        <v>1.493765095</v>
      </c>
      <c r="J18" s="40">
        <f>($F18/$F$57)*'US National Model'!$C$21*1000</f>
        <v>2.98753019</v>
      </c>
    </row>
    <row r="19">
      <c r="B19" s="9" t="s">
        <v>185</v>
      </c>
      <c r="C19" s="30">
        <v>7.2</v>
      </c>
      <c r="D19" s="31">
        <f t="shared" si="1"/>
        <v>0.02124833997</v>
      </c>
      <c r="E19" s="32">
        <v>0.95</v>
      </c>
      <c r="F19" s="33">
        <f t="shared" si="2"/>
        <v>0.02018592297</v>
      </c>
      <c r="G19" s="34">
        <f>($F19/$F$57)*'US National Model'!$C$13*1000</f>
        <v>263.605605</v>
      </c>
      <c r="H19" s="34">
        <f>($F19/$F$57)*'US National Model'!$C$16*1000</f>
        <v>105.442242</v>
      </c>
      <c r="I19" s="34">
        <f>($F19/$F$57)*'US National Model'!$C$19*1000</f>
        <v>1.58163363</v>
      </c>
      <c r="J19" s="28">
        <f>($F19/$F$57)*'US National Model'!$C$21*1000</f>
        <v>3.16326726</v>
      </c>
    </row>
    <row r="20">
      <c r="B20" s="20" t="s">
        <v>187</v>
      </c>
      <c r="C20" s="35">
        <v>7.1</v>
      </c>
      <c r="D20" s="36">
        <f t="shared" si="1"/>
        <v>0.02095322414</v>
      </c>
      <c r="E20" s="37">
        <v>1.3</v>
      </c>
      <c r="F20" s="38">
        <f t="shared" si="2"/>
        <v>0.02723919138</v>
      </c>
      <c r="G20" s="39">
        <f>($F20/$F$57)*'US National Model'!$C$13*1000</f>
        <v>355.7134115</v>
      </c>
      <c r="H20" s="39">
        <f>($F20/$F$57)*'US National Model'!$C$16*1000</f>
        <v>142.2853646</v>
      </c>
      <c r="I20" s="39">
        <f>($F20/$F$57)*'US National Model'!$C$19*1000</f>
        <v>2.134280469</v>
      </c>
      <c r="J20" s="40">
        <f>($F20/$F$57)*'US National Model'!$C$21*1000</f>
        <v>4.268560937</v>
      </c>
    </row>
    <row r="21" ht="15.75" customHeight="1">
      <c r="B21" s="9" t="s">
        <v>189</v>
      </c>
      <c r="C21" s="30">
        <v>6.9</v>
      </c>
      <c r="D21" s="31">
        <f t="shared" si="1"/>
        <v>0.02036299247</v>
      </c>
      <c r="E21" s="32">
        <v>0.92</v>
      </c>
      <c r="F21" s="33">
        <f t="shared" si="2"/>
        <v>0.01873395308</v>
      </c>
      <c r="G21" s="34">
        <f>($F21/$F$57)*'US National Model'!$C$13*1000</f>
        <v>244.6445001</v>
      </c>
      <c r="H21" s="34">
        <f>($F21/$F$57)*'US National Model'!$C$16*1000</f>
        <v>97.85780004</v>
      </c>
      <c r="I21" s="34">
        <f>($F21/$F$57)*'US National Model'!$C$19*1000</f>
        <v>1.467867001</v>
      </c>
      <c r="J21" s="28">
        <f>($F21/$F$57)*'US National Model'!$C$21*1000</f>
        <v>2.935734001</v>
      </c>
    </row>
    <row r="22" ht="15.75" customHeight="1">
      <c r="B22" s="20" t="s">
        <v>190</v>
      </c>
      <c r="C22" s="35">
        <v>6.3</v>
      </c>
      <c r="D22" s="36">
        <f t="shared" si="1"/>
        <v>0.01859229748</v>
      </c>
      <c r="E22" s="37">
        <v>1.05</v>
      </c>
      <c r="F22" s="38">
        <f t="shared" si="2"/>
        <v>0.01952191235</v>
      </c>
      <c r="G22" s="39">
        <f>($F22/$F$57)*'US National Model'!$C$13*1000</f>
        <v>254.934368</v>
      </c>
      <c r="H22" s="39">
        <f>($F22/$F$57)*'US National Model'!$C$16*1000</f>
        <v>101.9737472</v>
      </c>
      <c r="I22" s="39">
        <f>($F22/$F$57)*'US National Model'!$C$19*1000</f>
        <v>1.529606208</v>
      </c>
      <c r="J22" s="40">
        <f>($F22/$F$57)*'US National Model'!$C$21*1000</f>
        <v>3.059212416</v>
      </c>
    </row>
    <row r="23" ht="15.75" customHeight="1">
      <c r="B23" s="9" t="s">
        <v>191</v>
      </c>
      <c r="C23" s="30">
        <v>6.2</v>
      </c>
      <c r="D23" s="31">
        <f t="shared" si="1"/>
        <v>0.01829718164</v>
      </c>
      <c r="E23" s="32">
        <v>0.95</v>
      </c>
      <c r="F23" s="33">
        <f t="shared" si="2"/>
        <v>0.01738232256</v>
      </c>
      <c r="G23" s="34">
        <f>($F23/$F$57)*'US National Model'!$C$13*1000</f>
        <v>226.9937154</v>
      </c>
      <c r="H23" s="34">
        <f>($F23/$F$57)*'US National Model'!$C$16*1000</f>
        <v>90.79748617</v>
      </c>
      <c r="I23" s="34">
        <f>($F23/$F$57)*'US National Model'!$C$19*1000</f>
        <v>1.361962293</v>
      </c>
      <c r="J23" s="28">
        <f>($F23/$F$57)*'US National Model'!$C$21*1000</f>
        <v>2.723924585</v>
      </c>
    </row>
    <row r="24" ht="15.75" customHeight="1">
      <c r="B24" s="20" t="s">
        <v>192</v>
      </c>
      <c r="C24" s="35">
        <v>6.0</v>
      </c>
      <c r="D24" s="36">
        <f t="shared" si="1"/>
        <v>0.01770694998</v>
      </c>
      <c r="E24" s="37">
        <v>0.9</v>
      </c>
      <c r="F24" s="38">
        <f t="shared" si="2"/>
        <v>0.01593625498</v>
      </c>
      <c r="G24" s="39">
        <f>($F24/$F$57)*'US National Model'!$C$13*1000</f>
        <v>208.1096882</v>
      </c>
      <c r="H24" s="39">
        <f>($F24/$F$57)*'US National Model'!$C$16*1000</f>
        <v>83.24387527</v>
      </c>
      <c r="I24" s="39">
        <f>($F24/$F$57)*'US National Model'!$C$19*1000</f>
        <v>1.248658129</v>
      </c>
      <c r="J24" s="40">
        <f>($F24/$F$57)*'US National Model'!$C$21*1000</f>
        <v>2.497316258</v>
      </c>
    </row>
    <row r="25" ht="15.75" customHeight="1">
      <c r="B25" s="9" t="s">
        <v>193</v>
      </c>
      <c r="C25" s="30">
        <v>5.9</v>
      </c>
      <c r="D25" s="31">
        <f t="shared" si="1"/>
        <v>0.01741183414</v>
      </c>
      <c r="E25" s="32">
        <v>1.0</v>
      </c>
      <c r="F25" s="33">
        <f t="shared" si="2"/>
        <v>0.01741183414</v>
      </c>
      <c r="G25" s="34">
        <f>($F25/$F$57)*'US National Model'!$C$13*1000</f>
        <v>227.3791037</v>
      </c>
      <c r="H25" s="34">
        <f>($F25/$F$57)*'US National Model'!$C$16*1000</f>
        <v>90.9516415</v>
      </c>
      <c r="I25" s="34">
        <f>($F25/$F$57)*'US National Model'!$C$19*1000</f>
        <v>1.364274622</v>
      </c>
      <c r="J25" s="28">
        <f>($F25/$F$57)*'US National Model'!$C$21*1000</f>
        <v>2.728549245</v>
      </c>
    </row>
    <row r="26" ht="15.75" customHeight="1">
      <c r="B26" s="20" t="s">
        <v>194</v>
      </c>
      <c r="C26" s="35">
        <v>5.8</v>
      </c>
      <c r="D26" s="36">
        <f t="shared" si="1"/>
        <v>0.01711671831</v>
      </c>
      <c r="E26" s="37">
        <v>1.05</v>
      </c>
      <c r="F26" s="38">
        <f t="shared" si="2"/>
        <v>0.01797255423</v>
      </c>
      <c r="G26" s="39">
        <f>($F26/$F$57)*'US National Model'!$C$13*1000</f>
        <v>234.7014817</v>
      </c>
      <c r="H26" s="39">
        <f>($F26/$F$57)*'US National Model'!$C$16*1000</f>
        <v>93.88059267</v>
      </c>
      <c r="I26" s="39">
        <f>($F26/$F$57)*'US National Model'!$C$19*1000</f>
        <v>1.40820889</v>
      </c>
      <c r="J26" s="40">
        <f>($F26/$F$57)*'US National Model'!$C$21*1000</f>
        <v>2.81641778</v>
      </c>
    </row>
    <row r="27" ht="15.75" customHeight="1">
      <c r="B27" s="9" t="s">
        <v>195</v>
      </c>
      <c r="C27" s="30">
        <v>5.5</v>
      </c>
      <c r="D27" s="31">
        <f t="shared" si="1"/>
        <v>0.01623137081</v>
      </c>
      <c r="E27" s="32">
        <v>0.88</v>
      </c>
      <c r="F27" s="33">
        <f t="shared" si="2"/>
        <v>0.01428360632</v>
      </c>
      <c r="G27" s="34">
        <f>($F27/$F$57)*'US National Model'!$C$13*1000</f>
        <v>186.5279427</v>
      </c>
      <c r="H27" s="34">
        <f>($F27/$F$57)*'US National Model'!$C$16*1000</f>
        <v>74.61117709</v>
      </c>
      <c r="I27" s="34">
        <f>($F27/$F$57)*'US National Model'!$C$19*1000</f>
        <v>1.119167656</v>
      </c>
      <c r="J27" s="28">
        <f>($F27/$F$57)*'US National Model'!$C$21*1000</f>
        <v>2.238335313</v>
      </c>
    </row>
    <row r="28" ht="15.75" customHeight="1">
      <c r="B28" s="20" t="s">
        <v>196</v>
      </c>
      <c r="C28" s="35">
        <v>5.1</v>
      </c>
      <c r="D28" s="36">
        <f t="shared" si="1"/>
        <v>0.01505090748</v>
      </c>
      <c r="E28" s="37">
        <v>0.9</v>
      </c>
      <c r="F28" s="38">
        <f t="shared" si="2"/>
        <v>0.01354581673</v>
      </c>
      <c r="G28" s="39">
        <f>($F28/$F$57)*'US National Model'!$C$13*1000</f>
        <v>176.8932349</v>
      </c>
      <c r="H28" s="39">
        <f>($F28/$F$57)*'US National Model'!$C$16*1000</f>
        <v>70.75729398</v>
      </c>
      <c r="I28" s="39">
        <f>($F28/$F$57)*'US National Model'!$C$19*1000</f>
        <v>1.06135941</v>
      </c>
      <c r="J28" s="40">
        <f>($F28/$F$57)*'US National Model'!$C$21*1000</f>
        <v>2.122718819</v>
      </c>
    </row>
    <row r="29" ht="15.75" customHeight="1">
      <c r="B29" s="9" t="s">
        <v>197</v>
      </c>
      <c r="C29" s="30">
        <v>4.6</v>
      </c>
      <c r="D29" s="31">
        <f t="shared" si="1"/>
        <v>0.01357532832</v>
      </c>
      <c r="E29" s="32">
        <v>0.95</v>
      </c>
      <c r="F29" s="33">
        <f t="shared" si="2"/>
        <v>0.0128965619</v>
      </c>
      <c r="G29" s="34">
        <f>($F29/$F$57)*'US National Model'!$C$13*1000</f>
        <v>168.4146921</v>
      </c>
      <c r="H29" s="34">
        <f>($F29/$F$57)*'US National Model'!$C$16*1000</f>
        <v>67.36587684</v>
      </c>
      <c r="I29" s="34">
        <f>($F29/$F$57)*'US National Model'!$C$19*1000</f>
        <v>1.010488153</v>
      </c>
      <c r="J29" s="28">
        <f>($F29/$F$57)*'US National Model'!$C$21*1000</f>
        <v>2.020976305</v>
      </c>
    </row>
    <row r="30" ht="15.75" customHeight="1">
      <c r="B30" s="20" t="s">
        <v>198</v>
      </c>
      <c r="C30" s="35">
        <v>4.6</v>
      </c>
      <c r="D30" s="36">
        <f t="shared" si="1"/>
        <v>0.01357532832</v>
      </c>
      <c r="E30" s="37">
        <v>0.95</v>
      </c>
      <c r="F30" s="38">
        <f t="shared" si="2"/>
        <v>0.0128965619</v>
      </c>
      <c r="G30" s="39">
        <f>($F30/$F$57)*'US National Model'!$C$13*1000</f>
        <v>168.4146921</v>
      </c>
      <c r="H30" s="39">
        <f>($F30/$F$57)*'US National Model'!$C$16*1000</f>
        <v>67.36587684</v>
      </c>
      <c r="I30" s="39">
        <f>($F30/$F$57)*'US National Model'!$C$19*1000</f>
        <v>1.010488153</v>
      </c>
      <c r="J30" s="40">
        <f>($F30/$F$57)*'US National Model'!$C$21*1000</f>
        <v>2.020976305</v>
      </c>
    </row>
    <row r="31" ht="15.75" customHeight="1">
      <c r="B31" s="9" t="s">
        <v>199</v>
      </c>
      <c r="C31" s="30">
        <v>4.2</v>
      </c>
      <c r="D31" s="31">
        <f t="shared" si="1"/>
        <v>0.01239486498</v>
      </c>
      <c r="E31" s="32">
        <v>0.95</v>
      </c>
      <c r="F31" s="33">
        <f t="shared" si="2"/>
        <v>0.01177512174</v>
      </c>
      <c r="G31" s="34">
        <f>($F31/$F$57)*'US National Model'!$C$13*1000</f>
        <v>153.7699363</v>
      </c>
      <c r="H31" s="34">
        <f>($F31/$F$57)*'US National Model'!$C$16*1000</f>
        <v>61.5079745</v>
      </c>
      <c r="I31" s="34">
        <f>($F31/$F$57)*'US National Model'!$C$19*1000</f>
        <v>0.9226196176</v>
      </c>
      <c r="J31" s="28">
        <f>($F31/$F$57)*'US National Model'!$C$21*1000</f>
        <v>1.845239235</v>
      </c>
    </row>
    <row r="32" ht="15.75" customHeight="1">
      <c r="B32" s="20" t="s">
        <v>200</v>
      </c>
      <c r="C32" s="35">
        <v>4.1</v>
      </c>
      <c r="D32" s="36">
        <f t="shared" si="1"/>
        <v>0.01209974915</v>
      </c>
      <c r="E32" s="37">
        <v>0.88</v>
      </c>
      <c r="F32" s="38">
        <f t="shared" si="2"/>
        <v>0.01064777925</v>
      </c>
      <c r="G32" s="39">
        <f>($F32/$F$57)*'US National Model'!$C$13*1000</f>
        <v>139.0481028</v>
      </c>
      <c r="H32" s="39">
        <f>($F32/$F$57)*'US National Model'!$C$16*1000</f>
        <v>55.61924111</v>
      </c>
      <c r="I32" s="39">
        <f>($F32/$F$57)*'US National Model'!$C$19*1000</f>
        <v>0.8342886166</v>
      </c>
      <c r="J32" s="40">
        <f>($F32/$F$57)*'US National Model'!$C$21*1000</f>
        <v>1.668577233</v>
      </c>
    </row>
    <row r="33" ht="15.75" customHeight="1">
      <c r="B33" s="9" t="s">
        <v>201</v>
      </c>
      <c r="C33" s="30">
        <v>3.6</v>
      </c>
      <c r="D33" s="31">
        <f t="shared" si="1"/>
        <v>0.01062416999</v>
      </c>
      <c r="E33" s="32">
        <v>1.2</v>
      </c>
      <c r="F33" s="33">
        <f t="shared" si="2"/>
        <v>0.01274900398</v>
      </c>
      <c r="G33" s="34">
        <f>($F33/$F$57)*'US National Model'!$C$13*1000</f>
        <v>166.4877505</v>
      </c>
      <c r="H33" s="34">
        <f>($F33/$F$57)*'US National Model'!$C$16*1000</f>
        <v>66.59510022</v>
      </c>
      <c r="I33" s="34">
        <f>($F33/$F$57)*'US National Model'!$C$19*1000</f>
        <v>0.9989265032</v>
      </c>
      <c r="J33" s="28">
        <f>($F33/$F$57)*'US National Model'!$C$21*1000</f>
        <v>1.997853006</v>
      </c>
    </row>
    <row r="34" ht="15.75" customHeight="1">
      <c r="B34" s="20" t="s">
        <v>202</v>
      </c>
      <c r="C34" s="35">
        <v>3.5</v>
      </c>
      <c r="D34" s="36">
        <f t="shared" si="1"/>
        <v>0.01032905415</v>
      </c>
      <c r="E34" s="37">
        <v>0.7</v>
      </c>
      <c r="F34" s="38">
        <f t="shared" si="2"/>
        <v>0.007230337908</v>
      </c>
      <c r="G34" s="39">
        <f>($F34/$F$57)*'US National Model'!$C$13*1000</f>
        <v>94.4201363</v>
      </c>
      <c r="H34" s="39">
        <f>($F34/$F$57)*'US National Model'!$C$16*1000</f>
        <v>37.76805452</v>
      </c>
      <c r="I34" s="39">
        <f>($F34/$F$57)*'US National Model'!$C$19*1000</f>
        <v>0.5665208178</v>
      </c>
      <c r="J34" s="40">
        <f>($F34/$F$57)*'US National Model'!$C$21*1000</f>
        <v>1.133041636</v>
      </c>
    </row>
    <row r="35" ht="15.75" customHeight="1">
      <c r="B35" s="9" t="s">
        <v>203</v>
      </c>
      <c r="C35" s="30">
        <v>3.2</v>
      </c>
      <c r="D35" s="31">
        <f t="shared" si="1"/>
        <v>0.009443706655</v>
      </c>
      <c r="E35" s="32">
        <v>0.98</v>
      </c>
      <c r="F35" s="33">
        <f t="shared" si="2"/>
        <v>0.009254832522</v>
      </c>
      <c r="G35" s="34">
        <f>($F35/$F$57)*'US National Model'!$C$13*1000</f>
        <v>120.8577745</v>
      </c>
      <c r="H35" s="34">
        <f>($F35/$F$57)*'US National Model'!$C$16*1000</f>
        <v>48.34310979</v>
      </c>
      <c r="I35" s="34">
        <f>($F35/$F$57)*'US National Model'!$C$19*1000</f>
        <v>0.7251466468</v>
      </c>
      <c r="J35" s="28">
        <f>($F35/$F$57)*'US National Model'!$C$21*1000</f>
        <v>1.450293294</v>
      </c>
    </row>
    <row r="36" ht="15.75" customHeight="1">
      <c r="B36" s="20" t="s">
        <v>204</v>
      </c>
      <c r="C36" s="35">
        <v>3.2</v>
      </c>
      <c r="D36" s="36">
        <f t="shared" si="1"/>
        <v>0.009443706655</v>
      </c>
      <c r="E36" s="37">
        <v>0.8</v>
      </c>
      <c r="F36" s="38">
        <f t="shared" si="2"/>
        <v>0.007554965324</v>
      </c>
      <c r="G36" s="39">
        <f>($F36/$F$57)*'US National Model'!$C$13*1000</f>
        <v>98.65940773</v>
      </c>
      <c r="H36" s="39">
        <f>($F36/$F$57)*'US National Model'!$C$16*1000</f>
        <v>39.46376309</v>
      </c>
      <c r="I36" s="39">
        <f>($F36/$F$57)*'US National Model'!$C$19*1000</f>
        <v>0.5919564464</v>
      </c>
      <c r="J36" s="40">
        <f>($F36/$F$57)*'US National Model'!$C$21*1000</f>
        <v>1.183912893</v>
      </c>
    </row>
    <row r="37" ht="15.75" customHeight="1">
      <c r="B37" s="9" t="s">
        <v>205</v>
      </c>
      <c r="C37" s="30">
        <v>3.1</v>
      </c>
      <c r="D37" s="31">
        <f t="shared" si="1"/>
        <v>0.009148590822</v>
      </c>
      <c r="E37" s="32">
        <v>0.88</v>
      </c>
      <c r="F37" s="33">
        <f t="shared" si="2"/>
        <v>0.008050759923</v>
      </c>
      <c r="G37" s="34">
        <f>($F37/$F$57)*'US National Model'!$C$13*1000</f>
        <v>105.1339314</v>
      </c>
      <c r="H37" s="34">
        <f>($F37/$F$57)*'US National Model'!$C$16*1000</f>
        <v>42.05357254</v>
      </c>
      <c r="I37" s="34">
        <f>($F37/$F$57)*'US National Model'!$C$19*1000</f>
        <v>0.6308035882</v>
      </c>
      <c r="J37" s="28">
        <f>($F37/$F$57)*'US National Model'!$C$21*1000</f>
        <v>1.261607176</v>
      </c>
    </row>
    <row r="38" ht="15.75" customHeight="1">
      <c r="B38" s="20" t="s">
        <v>206</v>
      </c>
      <c r="C38" s="35">
        <v>2.9</v>
      </c>
      <c r="D38" s="36">
        <f t="shared" si="1"/>
        <v>0.008558359156</v>
      </c>
      <c r="E38" s="37">
        <v>0.9</v>
      </c>
      <c r="F38" s="38">
        <f t="shared" si="2"/>
        <v>0.00770252324</v>
      </c>
      <c r="G38" s="39">
        <f>($F38/$F$57)*'US National Model'!$C$13*1000</f>
        <v>100.5863493</v>
      </c>
      <c r="H38" s="39">
        <f>($F38/$F$57)*'US National Model'!$C$16*1000</f>
        <v>40.23453971</v>
      </c>
      <c r="I38" s="39">
        <f>($F38/$F$57)*'US National Model'!$C$19*1000</f>
        <v>0.6035180957</v>
      </c>
      <c r="J38" s="40">
        <f>($F38/$F$57)*'US National Model'!$C$21*1000</f>
        <v>1.207036191</v>
      </c>
    </row>
    <row r="39" ht="15.75" customHeight="1">
      <c r="B39" s="9" t="s">
        <v>207</v>
      </c>
      <c r="C39" s="30">
        <v>2.9</v>
      </c>
      <c r="D39" s="31">
        <f t="shared" si="1"/>
        <v>0.008558359156</v>
      </c>
      <c r="E39" s="32">
        <v>0.92</v>
      </c>
      <c r="F39" s="33">
        <f t="shared" si="2"/>
        <v>0.007873690423</v>
      </c>
      <c r="G39" s="34">
        <f>($F39/$F$57)*'US National Model'!$C$13*1000</f>
        <v>102.8216015</v>
      </c>
      <c r="H39" s="34">
        <f>($F39/$F$57)*'US National Model'!$C$16*1000</f>
        <v>41.1286406</v>
      </c>
      <c r="I39" s="34">
        <f>($F39/$F$57)*'US National Model'!$C$19*1000</f>
        <v>0.6169296089</v>
      </c>
      <c r="J39" s="28">
        <f>($F39/$F$57)*'US National Model'!$C$21*1000</f>
        <v>1.233859218</v>
      </c>
    </row>
    <row r="40" ht="15.75" customHeight="1">
      <c r="B40" s="20" t="s">
        <v>208</v>
      </c>
      <c r="C40" s="35">
        <v>2.1</v>
      </c>
      <c r="D40" s="36">
        <f t="shared" si="1"/>
        <v>0.006197432492</v>
      </c>
      <c r="E40" s="37">
        <v>0.88</v>
      </c>
      <c r="F40" s="38">
        <f t="shared" si="2"/>
        <v>0.005453740593</v>
      </c>
      <c r="G40" s="39">
        <f>($F40/$F$57)*'US National Model'!$C$13*1000</f>
        <v>71.21975995</v>
      </c>
      <c r="H40" s="39">
        <f>($F40/$F$57)*'US National Model'!$C$16*1000</f>
        <v>28.48790398</v>
      </c>
      <c r="I40" s="39">
        <f>($F40/$F$57)*'US National Model'!$C$19*1000</f>
        <v>0.4273185597</v>
      </c>
      <c r="J40" s="40">
        <f>($F40/$F$57)*'US National Model'!$C$21*1000</f>
        <v>0.8546371194</v>
      </c>
    </row>
    <row r="41" ht="15.75" customHeight="1">
      <c r="B41" s="9" t="s">
        <v>209</v>
      </c>
      <c r="C41" s="30">
        <v>2.0</v>
      </c>
      <c r="D41" s="31">
        <f t="shared" si="1"/>
        <v>0.005902316659</v>
      </c>
      <c r="E41" s="32">
        <v>0.98</v>
      </c>
      <c r="F41" s="33">
        <f t="shared" si="2"/>
        <v>0.005784270326</v>
      </c>
      <c r="G41" s="34">
        <f>($F41/$F$57)*'US National Model'!$C$13*1000</f>
        <v>75.53610904</v>
      </c>
      <c r="H41" s="34">
        <f>($F41/$F$57)*'US National Model'!$C$16*1000</f>
        <v>30.21444362</v>
      </c>
      <c r="I41" s="34">
        <f>($F41/$F$57)*'US National Model'!$C$19*1000</f>
        <v>0.4532166542</v>
      </c>
      <c r="J41" s="28">
        <f>($F41/$F$57)*'US National Model'!$C$21*1000</f>
        <v>0.9064333085</v>
      </c>
    </row>
    <row r="42" ht="15.75" customHeight="1">
      <c r="B42" s="20" t="s">
        <v>210</v>
      </c>
      <c r="C42" s="35">
        <v>2.0</v>
      </c>
      <c r="D42" s="36">
        <f t="shared" si="1"/>
        <v>0.005902316659</v>
      </c>
      <c r="E42" s="37">
        <v>0.75</v>
      </c>
      <c r="F42" s="38">
        <f t="shared" si="2"/>
        <v>0.004426737494</v>
      </c>
      <c r="G42" s="39">
        <f>($F42/$F$57)*'US National Model'!$C$13*1000</f>
        <v>57.80824672</v>
      </c>
      <c r="H42" s="39">
        <f>($F42/$F$57)*'US National Model'!$C$16*1000</f>
        <v>23.12329869</v>
      </c>
      <c r="I42" s="39">
        <f>($F42/$F$57)*'US National Model'!$C$19*1000</f>
        <v>0.3468494803</v>
      </c>
      <c r="J42" s="40">
        <f>($F42/$F$57)*'US National Model'!$C$21*1000</f>
        <v>0.6936989606</v>
      </c>
    </row>
    <row r="43" ht="15.75" customHeight="1">
      <c r="B43" s="9" t="s">
        <v>211</v>
      </c>
      <c r="C43" s="30">
        <v>1.8</v>
      </c>
      <c r="D43" s="31">
        <f t="shared" si="1"/>
        <v>0.005312084993</v>
      </c>
      <c r="E43" s="32">
        <v>1.15</v>
      </c>
      <c r="F43" s="33">
        <f t="shared" si="2"/>
        <v>0.006108897742</v>
      </c>
      <c r="G43" s="34">
        <f>($F43/$F$57)*'US National Model'!$C$13*1000</f>
        <v>79.77538047</v>
      </c>
      <c r="H43" s="34">
        <f>($F43/$F$57)*'US National Model'!$C$16*1000</f>
        <v>31.91015219</v>
      </c>
      <c r="I43" s="34">
        <f>($F43/$F$57)*'US National Model'!$C$19*1000</f>
        <v>0.4786522828</v>
      </c>
      <c r="J43" s="28">
        <f>($F43/$F$57)*'US National Model'!$C$21*1000</f>
        <v>0.9573045656</v>
      </c>
    </row>
    <row r="44" ht="15.75" customHeight="1">
      <c r="B44" s="20" t="s">
        <v>212</v>
      </c>
      <c r="C44" s="35">
        <v>1.4</v>
      </c>
      <c r="D44" s="36">
        <f t="shared" si="1"/>
        <v>0.004131621662</v>
      </c>
      <c r="E44" s="37">
        <v>1.0</v>
      </c>
      <c r="F44" s="38">
        <f t="shared" si="2"/>
        <v>0.004131621662</v>
      </c>
      <c r="G44" s="39">
        <f>($F44/$F$57)*'US National Model'!$C$13*1000</f>
        <v>53.9543636</v>
      </c>
      <c r="H44" s="39">
        <f>($F44/$F$57)*'US National Model'!$C$16*1000</f>
        <v>21.58174544</v>
      </c>
      <c r="I44" s="39">
        <f>($F44/$F$57)*'US National Model'!$C$19*1000</f>
        <v>0.3237261816</v>
      </c>
      <c r="J44" s="40">
        <f>($F44/$F$57)*'US National Model'!$C$21*1000</f>
        <v>0.6474523632</v>
      </c>
    </row>
    <row r="45" ht="15.75" customHeight="1">
      <c r="B45" s="9" t="s">
        <v>213</v>
      </c>
      <c r="C45" s="30">
        <v>1.4</v>
      </c>
      <c r="D45" s="31">
        <f t="shared" si="1"/>
        <v>0.004131621662</v>
      </c>
      <c r="E45" s="32">
        <v>1.05</v>
      </c>
      <c r="F45" s="33">
        <f t="shared" si="2"/>
        <v>0.004338202745</v>
      </c>
      <c r="G45" s="34">
        <f>($F45/$F$57)*'US National Model'!$C$13*1000</f>
        <v>56.65208178</v>
      </c>
      <c r="H45" s="34">
        <f>($F45/$F$57)*'US National Model'!$C$16*1000</f>
        <v>22.66083271</v>
      </c>
      <c r="I45" s="34">
        <f>($F45/$F$57)*'US National Model'!$C$19*1000</f>
        <v>0.3399124907</v>
      </c>
      <c r="J45" s="28">
        <f>($F45/$F$57)*'US National Model'!$C$21*1000</f>
        <v>0.6798249814</v>
      </c>
    </row>
    <row r="46" ht="15.75" customHeight="1">
      <c r="B46" s="20" t="s">
        <v>214</v>
      </c>
      <c r="C46" s="35">
        <v>1.4</v>
      </c>
      <c r="D46" s="36">
        <f t="shared" si="1"/>
        <v>0.004131621662</v>
      </c>
      <c r="E46" s="37">
        <v>1.1</v>
      </c>
      <c r="F46" s="38">
        <f t="shared" si="2"/>
        <v>0.004544783828</v>
      </c>
      <c r="G46" s="39">
        <f>($F46/$F$57)*'US National Model'!$C$13*1000</f>
        <v>59.34979996</v>
      </c>
      <c r="H46" s="39">
        <f>($F46/$F$57)*'US National Model'!$C$16*1000</f>
        <v>23.73991998</v>
      </c>
      <c r="I46" s="39">
        <f>($F46/$F$57)*'US National Model'!$C$19*1000</f>
        <v>0.3560987998</v>
      </c>
      <c r="J46" s="40">
        <f>($F46/$F$57)*'US National Model'!$C$21*1000</f>
        <v>0.7121975995</v>
      </c>
    </row>
    <row r="47" ht="15.75" customHeight="1">
      <c r="B47" s="9" t="s">
        <v>215</v>
      </c>
      <c r="C47" s="30">
        <v>1.1</v>
      </c>
      <c r="D47" s="31">
        <f t="shared" si="1"/>
        <v>0.003246274163</v>
      </c>
      <c r="E47" s="32">
        <v>1.0</v>
      </c>
      <c r="F47" s="33">
        <f t="shared" si="2"/>
        <v>0.003246274163</v>
      </c>
      <c r="G47" s="34">
        <f>($F47/$F$57)*'US National Model'!$C$13*1000</f>
        <v>42.39271426</v>
      </c>
      <c r="H47" s="34">
        <f>($F47/$F$57)*'US National Model'!$C$16*1000</f>
        <v>16.9570857</v>
      </c>
      <c r="I47" s="34">
        <f>($F47/$F$57)*'US National Model'!$C$19*1000</f>
        <v>0.2543562855</v>
      </c>
      <c r="J47" s="28">
        <f>($F47/$F$57)*'US National Model'!$C$21*1000</f>
        <v>0.5087125711</v>
      </c>
    </row>
    <row r="48" ht="15.75" customHeight="1">
      <c r="B48" s="20" t="s">
        <v>216</v>
      </c>
      <c r="C48" s="35">
        <v>1.1</v>
      </c>
      <c r="D48" s="36">
        <f t="shared" si="1"/>
        <v>0.003246274163</v>
      </c>
      <c r="E48" s="37">
        <v>1.1</v>
      </c>
      <c r="F48" s="38">
        <f t="shared" si="2"/>
        <v>0.003570901579</v>
      </c>
      <c r="G48" s="39">
        <f>($F48/$F$57)*'US National Model'!$C$13*1000</f>
        <v>46.63198568</v>
      </c>
      <c r="H48" s="39">
        <f>($F48/$F$57)*'US National Model'!$C$16*1000</f>
        <v>18.65279427</v>
      </c>
      <c r="I48" s="39">
        <f>($F48/$F$57)*'US National Model'!$C$19*1000</f>
        <v>0.2797919141</v>
      </c>
      <c r="J48" s="40">
        <f>($F48/$F$57)*'US National Model'!$C$21*1000</f>
        <v>0.5595838282</v>
      </c>
    </row>
    <row r="49" ht="15.75" customHeight="1">
      <c r="B49" s="9" t="s">
        <v>217</v>
      </c>
      <c r="C49" s="30">
        <v>1.0</v>
      </c>
      <c r="D49" s="31">
        <f t="shared" si="1"/>
        <v>0.00295115833</v>
      </c>
      <c r="E49" s="32">
        <v>1.15</v>
      </c>
      <c r="F49" s="33">
        <f t="shared" si="2"/>
        <v>0.003393832079</v>
      </c>
      <c r="G49" s="34">
        <f>($F49/$F$57)*'US National Model'!$C$13*1000</f>
        <v>44.31965581</v>
      </c>
      <c r="H49" s="34">
        <f>($F49/$F$57)*'US National Model'!$C$16*1000</f>
        <v>17.72786233</v>
      </c>
      <c r="I49" s="34">
        <f>($F49/$F$57)*'US National Model'!$C$19*1000</f>
        <v>0.2659179349</v>
      </c>
      <c r="J49" s="28">
        <f>($F49/$F$57)*'US National Model'!$C$21*1000</f>
        <v>0.5318358698</v>
      </c>
    </row>
    <row r="50" ht="15.75" customHeight="1">
      <c r="B50" s="20" t="s">
        <v>218</v>
      </c>
      <c r="C50" s="35">
        <v>0.92</v>
      </c>
      <c r="D50" s="36">
        <f t="shared" si="1"/>
        <v>0.002715065663</v>
      </c>
      <c r="E50" s="37">
        <v>0.95</v>
      </c>
      <c r="F50" s="38">
        <f t="shared" si="2"/>
        <v>0.00257931238</v>
      </c>
      <c r="G50" s="39">
        <f>($F50/$F$57)*'US National Model'!$C$13*1000</f>
        <v>33.68293842</v>
      </c>
      <c r="H50" s="39">
        <f>($F50/$F$57)*'US National Model'!$C$16*1000</f>
        <v>13.47317537</v>
      </c>
      <c r="I50" s="39">
        <f>($F50/$F$57)*'US National Model'!$C$19*1000</f>
        <v>0.2020976305</v>
      </c>
      <c r="J50" s="40">
        <f>($F50/$F$57)*'US National Model'!$C$21*1000</f>
        <v>0.404195261</v>
      </c>
    </row>
    <row r="51" ht="15.75" customHeight="1">
      <c r="B51" s="9" t="s">
        <v>219</v>
      </c>
      <c r="C51" s="30">
        <v>0.79</v>
      </c>
      <c r="D51" s="31">
        <f t="shared" si="1"/>
        <v>0.00233141508</v>
      </c>
      <c r="E51" s="32">
        <v>0.98</v>
      </c>
      <c r="F51" s="33">
        <f t="shared" si="2"/>
        <v>0.002284786779</v>
      </c>
      <c r="G51" s="34">
        <f>($F51/$F$57)*'US National Model'!$C$13*1000</f>
        <v>29.83676307</v>
      </c>
      <c r="H51" s="34">
        <f>($F51/$F$57)*'US National Model'!$C$16*1000</f>
        <v>11.93470523</v>
      </c>
      <c r="I51" s="34">
        <f>($F51/$F$57)*'US National Model'!$C$19*1000</f>
        <v>0.1790205784</v>
      </c>
      <c r="J51" s="28">
        <f>($F51/$F$57)*'US National Model'!$C$21*1000</f>
        <v>0.3580411569</v>
      </c>
    </row>
    <row r="52" ht="15.75" customHeight="1">
      <c r="B52" s="20" t="s">
        <v>220</v>
      </c>
      <c r="C52" s="35">
        <v>0.73</v>
      </c>
      <c r="D52" s="36">
        <f t="shared" si="1"/>
        <v>0.002154345581</v>
      </c>
      <c r="E52" s="37">
        <v>1.35</v>
      </c>
      <c r="F52" s="38">
        <f t="shared" si="2"/>
        <v>0.002908366534</v>
      </c>
      <c r="G52" s="39">
        <f>($F52/$F$57)*'US National Model'!$C$13*1000</f>
        <v>37.98001809</v>
      </c>
      <c r="H52" s="39">
        <f>($F52/$F$57)*'US National Model'!$C$16*1000</f>
        <v>15.19200724</v>
      </c>
      <c r="I52" s="39">
        <f>($F52/$F$57)*'US National Model'!$C$19*1000</f>
        <v>0.2278801086</v>
      </c>
      <c r="J52" s="40">
        <f>($F52/$F$57)*'US National Model'!$C$21*1000</f>
        <v>0.4557602171</v>
      </c>
    </row>
    <row r="53" ht="15.75" customHeight="1">
      <c r="B53" s="9" t="s">
        <v>221</v>
      </c>
      <c r="C53" s="30">
        <v>0.65</v>
      </c>
      <c r="D53" s="31">
        <f t="shared" si="1"/>
        <v>0.001918252914</v>
      </c>
      <c r="E53" s="32">
        <v>1.15</v>
      </c>
      <c r="F53" s="33">
        <f t="shared" si="2"/>
        <v>0.002205990851</v>
      </c>
      <c r="G53" s="34">
        <f>($F53/$F$57)*'US National Model'!$C$13*1000</f>
        <v>28.80777628</v>
      </c>
      <c r="H53" s="34">
        <f>($F53/$F$57)*'US National Model'!$C$16*1000</f>
        <v>11.52311051</v>
      </c>
      <c r="I53" s="34">
        <f>($F53/$F$57)*'US National Model'!$C$19*1000</f>
        <v>0.1728466577</v>
      </c>
      <c r="J53" s="28">
        <f>($F53/$F$57)*'US National Model'!$C$21*1000</f>
        <v>0.3456933154</v>
      </c>
    </row>
    <row r="54" ht="15.75" customHeight="1">
      <c r="B54" s="20" t="s">
        <v>222</v>
      </c>
      <c r="C54" s="35">
        <v>0.58</v>
      </c>
      <c r="D54" s="36">
        <f t="shared" si="1"/>
        <v>0.001711671831</v>
      </c>
      <c r="E54" s="37">
        <v>1.05</v>
      </c>
      <c r="F54" s="38">
        <f t="shared" si="2"/>
        <v>0.001797255423</v>
      </c>
      <c r="G54" s="39">
        <f>($F54/$F$57)*'US National Model'!$C$13*1000</f>
        <v>23.47014817</v>
      </c>
      <c r="H54" s="39">
        <f>($F54/$F$57)*'US National Model'!$C$16*1000</f>
        <v>9.388059267</v>
      </c>
      <c r="I54" s="39">
        <f>($F54/$F$57)*'US National Model'!$C$19*1000</f>
        <v>0.140820889</v>
      </c>
      <c r="J54" s="40">
        <f>($F54/$F$57)*'US National Model'!$C$21*1000</f>
        <v>0.281641778</v>
      </c>
    </row>
    <row r="55" ht="15.75" customHeight="1">
      <c r="B55" s="9" t="s">
        <v>223</v>
      </c>
      <c r="C55" s="30">
        <v>0.68</v>
      </c>
      <c r="D55" s="31">
        <f t="shared" si="1"/>
        <v>0.002006787664</v>
      </c>
      <c r="E55" s="32">
        <v>1.9</v>
      </c>
      <c r="F55" s="33">
        <f t="shared" si="2"/>
        <v>0.003812896562</v>
      </c>
      <c r="G55" s="34">
        <f>($F55/$F$57)*'US National Model'!$C$13*1000</f>
        <v>49.79216984</v>
      </c>
      <c r="H55" s="34">
        <f>($F55/$F$57)*'US National Model'!$C$16*1000</f>
        <v>19.91686793</v>
      </c>
      <c r="I55" s="34">
        <f>($F55/$F$57)*'US National Model'!$C$19*1000</f>
        <v>0.298753019</v>
      </c>
      <c r="J55" s="28">
        <f>($F55/$F$57)*'US National Model'!$C$21*1000</f>
        <v>0.597506038</v>
      </c>
    </row>
    <row r="56" ht="15.75" customHeight="1"/>
    <row r="57" ht="15.75" customHeight="1">
      <c r="B57" s="42" t="s">
        <v>186</v>
      </c>
      <c r="F57" s="43">
        <f>SUM(F5:F55)</f>
        <v>0.992427918</v>
      </c>
    </row>
    <row r="58" ht="15.75" customHeight="1">
      <c r="B58" s="18" t="s">
        <v>224</v>
      </c>
      <c r="C58" s="44"/>
      <c r="D58" s="44"/>
      <c r="E58" s="44"/>
      <c r="F58" s="44"/>
      <c r="G58" s="45">
        <f t="shared" ref="G58:J58" si="3">SUM(G5:G55)</f>
        <v>12960</v>
      </c>
      <c r="H58" s="45">
        <f t="shared" si="3"/>
        <v>5184</v>
      </c>
      <c r="I58" s="45">
        <f t="shared" si="3"/>
        <v>77.76</v>
      </c>
      <c r="J58" s="45">
        <f t="shared" si="3"/>
        <v>155.52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4" width="16.0"/>
    <col customWidth="1" min="5" max="5" width="45.0"/>
    <col customWidth="1" min="6" max="26" width="8.71"/>
  </cols>
  <sheetData>
    <row r="1" ht="25.5" customHeight="1">
      <c r="A1" s="1" t="s">
        <v>128</v>
      </c>
    </row>
    <row r="2">
      <c r="A2" s="2" t="s">
        <v>130</v>
      </c>
    </row>
    <row r="4" ht="18.0" customHeight="1">
      <c r="A4" s="5"/>
      <c r="B4" s="5" t="s">
        <v>9</v>
      </c>
      <c r="C4" s="5" t="s">
        <v>133</v>
      </c>
      <c r="D4" s="5" t="s">
        <v>134</v>
      </c>
      <c r="E4" s="5" t="s">
        <v>14</v>
      </c>
    </row>
    <row r="5">
      <c r="B5" s="9" t="s">
        <v>135</v>
      </c>
      <c r="C5" s="14">
        <f>Assumptions!$C$6</f>
        <v>372</v>
      </c>
      <c r="D5" s="14">
        <f>C5*Assumptions!$C$7</f>
        <v>271.56</v>
      </c>
      <c r="E5" s="12" t="s">
        <v>137</v>
      </c>
    </row>
    <row r="6">
      <c r="B6" s="9" t="s">
        <v>46</v>
      </c>
      <c r="C6" s="17">
        <f>Assumptions!$C$9</f>
        <v>0.17</v>
      </c>
      <c r="D6" s="17">
        <f>C6</f>
        <v>0.17</v>
      </c>
      <c r="E6" s="12" t="s">
        <v>138</v>
      </c>
    </row>
    <row r="7">
      <c r="B7" s="18" t="s">
        <v>139</v>
      </c>
      <c r="C7" s="19">
        <f t="shared" ref="C7:D7" si="1">C5*C6</f>
        <v>63.24</v>
      </c>
      <c r="D7" s="19">
        <f t="shared" si="1"/>
        <v>46.1652</v>
      </c>
      <c r="E7" s="21" t="s">
        <v>72</v>
      </c>
    </row>
    <row r="9">
      <c r="B9" s="9" t="s">
        <v>85</v>
      </c>
      <c r="C9" s="17">
        <f>Assumptions!$C$10</f>
        <v>0.08</v>
      </c>
      <c r="D9" s="17">
        <f>C9</f>
        <v>0.08</v>
      </c>
      <c r="E9" s="12" t="s">
        <v>141</v>
      </c>
    </row>
    <row r="10">
      <c r="B10" s="18" t="s">
        <v>142</v>
      </c>
      <c r="C10" s="19">
        <f t="shared" ref="C10:D10" si="2">C7*C9</f>
        <v>5.0592</v>
      </c>
      <c r="D10" s="19">
        <f t="shared" si="2"/>
        <v>3.693216</v>
      </c>
      <c r="E10" s="21" t="s">
        <v>143</v>
      </c>
    </row>
    <row r="12">
      <c r="B12" s="9" t="s">
        <v>100</v>
      </c>
      <c r="C12" s="17">
        <f>Assumptions!$C$11</f>
        <v>0.12</v>
      </c>
      <c r="D12" s="17">
        <f>C12</f>
        <v>0.12</v>
      </c>
      <c r="E12" s="12" t="s">
        <v>145</v>
      </c>
    </row>
    <row r="13">
      <c r="B13" s="24" t="s">
        <v>146</v>
      </c>
      <c r="C13" s="26">
        <f t="shared" ref="C13:D13" si="3">C10*C12</f>
        <v>0.607104</v>
      </c>
      <c r="D13" s="26">
        <f t="shared" si="3"/>
        <v>0.44318592</v>
      </c>
      <c r="E13" s="27" t="s">
        <v>148</v>
      </c>
    </row>
    <row r="15">
      <c r="B15" s="9" t="s">
        <v>110</v>
      </c>
      <c r="C15" s="17">
        <f>Assumptions!$C$12</f>
        <v>0.4</v>
      </c>
      <c r="D15" s="17">
        <f>C15</f>
        <v>0.4</v>
      </c>
      <c r="E15" s="12" t="s">
        <v>151</v>
      </c>
    </row>
    <row r="16">
      <c r="B16" s="24" t="s">
        <v>152</v>
      </c>
      <c r="C16" s="26">
        <f t="shared" ref="C16:D16" si="4">C13*C15</f>
        <v>0.2428416</v>
      </c>
      <c r="D16" s="26">
        <f t="shared" si="4"/>
        <v>0.177274368</v>
      </c>
      <c r="E16" s="27" t="s">
        <v>113</v>
      </c>
    </row>
    <row r="18">
      <c r="B18" s="9" t="s">
        <v>114</v>
      </c>
      <c r="C18" s="29">
        <f>Assumptions!$C$13</f>
        <v>0.015</v>
      </c>
      <c r="D18" s="29">
        <f>C18</f>
        <v>0.015</v>
      </c>
      <c r="E18" s="12" t="s">
        <v>159</v>
      </c>
    </row>
    <row r="19">
      <c r="B19" s="24" t="s">
        <v>160</v>
      </c>
      <c r="C19" s="26">
        <f t="shared" ref="C19:D19" si="5">C16*C18</f>
        <v>0.003642624</v>
      </c>
      <c r="D19" s="26">
        <f t="shared" si="5"/>
        <v>0.00265911552</v>
      </c>
      <c r="E19" s="27" t="s">
        <v>161</v>
      </c>
    </row>
    <row r="20">
      <c r="B20" s="9" t="s">
        <v>118</v>
      </c>
      <c r="C20" s="29">
        <f>Assumptions!$C$14</f>
        <v>0.03</v>
      </c>
      <c r="D20" s="29">
        <f>C20</f>
        <v>0.03</v>
      </c>
      <c r="E20" s="12" t="s">
        <v>163</v>
      </c>
    </row>
    <row r="21" ht="15.75" customHeight="1">
      <c r="B21" s="24" t="s">
        <v>164</v>
      </c>
      <c r="C21" s="26">
        <f t="shared" ref="C21:D21" si="6">C16*C20</f>
        <v>0.007285248</v>
      </c>
      <c r="D21" s="26">
        <f t="shared" si="6"/>
        <v>0.00531823104</v>
      </c>
      <c r="E21" s="27" t="s">
        <v>122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6.0"/>
    <col customWidth="1" min="3" max="3" width="16.0"/>
    <col customWidth="1" min="4" max="4" width="12.0"/>
    <col customWidth="1" min="5" max="10" width="14.0"/>
    <col customWidth="1" min="11" max="26" width="8.71"/>
  </cols>
  <sheetData>
    <row r="1" ht="25.5" customHeight="1">
      <c r="A1" s="1" t="s">
        <v>147</v>
      </c>
    </row>
    <row r="2">
      <c r="A2" s="2" t="s">
        <v>149</v>
      </c>
    </row>
    <row r="4" ht="31.5" customHeight="1">
      <c r="A4" s="5"/>
      <c r="B4" s="5" t="s">
        <v>150</v>
      </c>
      <c r="C4" s="5" t="s">
        <v>127</v>
      </c>
      <c r="D4" s="5" t="s">
        <v>129</v>
      </c>
      <c r="E4" s="5" t="s">
        <v>131</v>
      </c>
      <c r="F4" s="5" t="s">
        <v>132</v>
      </c>
      <c r="G4" s="5" t="s">
        <v>154</v>
      </c>
      <c r="H4" s="5" t="s">
        <v>155</v>
      </c>
      <c r="I4" s="5" t="s">
        <v>156</v>
      </c>
      <c r="J4" s="5" t="s">
        <v>157</v>
      </c>
    </row>
    <row r="5">
      <c r="B5" s="9" t="s">
        <v>158</v>
      </c>
      <c r="C5" s="30">
        <v>15.8</v>
      </c>
      <c r="D5" s="31">
        <f t="shared" ref="D5:D17" si="1">C5/SUM($C$5:$C$17)</f>
        <v>0.3896328081</v>
      </c>
      <c r="E5" s="32">
        <v>0.95</v>
      </c>
      <c r="F5" s="33">
        <f t="shared" ref="F5:F17" si="2">D5*E5</f>
        <v>0.3701511677</v>
      </c>
      <c r="G5" s="34">
        <f>($F5/$F$19)*'Canada National Model'!$D$13*1000</f>
        <v>165.1580807</v>
      </c>
      <c r="H5" s="34">
        <f>($F5/$F$19)*'Canada National Model'!$D$16*1000</f>
        <v>66.06323229</v>
      </c>
      <c r="I5" s="34">
        <f>($F5/$F$19)*'Canada National Model'!$D$19*1000</f>
        <v>0.9909484843</v>
      </c>
      <c r="J5" s="28">
        <f>($F5/$F$19)*'Canada National Model'!$D$21*1000</f>
        <v>1.981896969</v>
      </c>
    </row>
    <row r="6">
      <c r="B6" s="20" t="s">
        <v>165</v>
      </c>
      <c r="C6" s="35">
        <v>8.9</v>
      </c>
      <c r="D6" s="36">
        <f t="shared" si="1"/>
        <v>0.2194767083</v>
      </c>
      <c r="E6" s="37">
        <v>1.0</v>
      </c>
      <c r="F6" s="38">
        <f t="shared" si="2"/>
        <v>0.2194767083</v>
      </c>
      <c r="G6" s="39">
        <f>($F6/$F$19)*'Canada National Model'!$D$13*1000</f>
        <v>97.92850888</v>
      </c>
      <c r="H6" s="39">
        <f>($F6/$F$19)*'Canada National Model'!$D$16*1000</f>
        <v>39.17140355</v>
      </c>
      <c r="I6" s="39">
        <f>($F6/$F$19)*'Canada National Model'!$D$19*1000</f>
        <v>0.5875710533</v>
      </c>
      <c r="J6" s="40">
        <f>($F6/$F$19)*'Canada National Model'!$D$21*1000</f>
        <v>1.175142107</v>
      </c>
    </row>
    <row r="7">
      <c r="B7" s="9" t="s">
        <v>167</v>
      </c>
      <c r="C7" s="30">
        <v>5.6</v>
      </c>
      <c r="D7" s="31">
        <f t="shared" si="1"/>
        <v>0.1380977041</v>
      </c>
      <c r="E7" s="32">
        <v>1.0</v>
      </c>
      <c r="F7" s="33">
        <f t="shared" si="2"/>
        <v>0.1380977041</v>
      </c>
      <c r="G7" s="34">
        <f>($F7/$F$19)*'Canada National Model'!$D$13*1000</f>
        <v>61.61793817</v>
      </c>
      <c r="H7" s="34">
        <f>($F7/$F$19)*'Canada National Model'!$D$16*1000</f>
        <v>24.64717527</v>
      </c>
      <c r="I7" s="34">
        <f>($F7/$F$19)*'Canada National Model'!$D$19*1000</f>
        <v>0.369707629</v>
      </c>
      <c r="J7" s="28">
        <f>($F7/$F$19)*'Canada National Model'!$D$21*1000</f>
        <v>0.7394152581</v>
      </c>
    </row>
    <row r="8">
      <c r="B8" s="20" t="s">
        <v>170</v>
      </c>
      <c r="C8" s="35">
        <v>4.8</v>
      </c>
      <c r="D8" s="36">
        <f t="shared" si="1"/>
        <v>0.1183694607</v>
      </c>
      <c r="E8" s="37">
        <v>0.98</v>
      </c>
      <c r="F8" s="38">
        <f t="shared" si="2"/>
        <v>0.1160020715</v>
      </c>
      <c r="G8" s="39">
        <f>($F8/$F$19)*'Canada National Model'!$D$13*1000</f>
        <v>51.75906807</v>
      </c>
      <c r="H8" s="39">
        <f>($F8/$F$19)*'Canada National Model'!$D$16*1000</f>
        <v>20.70362723</v>
      </c>
      <c r="I8" s="39">
        <f>($F8/$F$19)*'Canada National Model'!$D$19*1000</f>
        <v>0.3105544084</v>
      </c>
      <c r="J8" s="40">
        <f>($F8/$F$19)*'Canada National Model'!$D$21*1000</f>
        <v>0.6211088168</v>
      </c>
    </row>
    <row r="9">
      <c r="B9" s="9" t="s">
        <v>171</v>
      </c>
      <c r="C9" s="30">
        <v>1.5</v>
      </c>
      <c r="D9" s="31">
        <f t="shared" si="1"/>
        <v>0.03699045646</v>
      </c>
      <c r="E9" s="32">
        <v>1.05</v>
      </c>
      <c r="F9" s="33">
        <f t="shared" si="2"/>
        <v>0.03883997929</v>
      </c>
      <c r="G9" s="34">
        <f>($F9/$F$19)*'Canada National Model'!$D$13*1000</f>
        <v>17.33004511</v>
      </c>
      <c r="H9" s="34">
        <f>($F9/$F$19)*'Canada National Model'!$D$16*1000</f>
        <v>6.932018045</v>
      </c>
      <c r="I9" s="34">
        <f>($F9/$F$19)*'Canada National Model'!$D$19*1000</f>
        <v>0.1039802707</v>
      </c>
      <c r="J9" s="28">
        <f>($F9/$F$19)*'Canada National Model'!$D$21*1000</f>
        <v>0.2079605413</v>
      </c>
    </row>
    <row r="10">
      <c r="B10" s="20" t="s">
        <v>173</v>
      </c>
      <c r="C10" s="35">
        <v>1.2</v>
      </c>
      <c r="D10" s="36">
        <f t="shared" si="1"/>
        <v>0.02959236517</v>
      </c>
      <c r="E10" s="37">
        <v>1.05</v>
      </c>
      <c r="F10" s="38">
        <f t="shared" si="2"/>
        <v>0.03107198343</v>
      </c>
      <c r="G10" s="39">
        <f>($F10/$F$19)*'Canada National Model'!$D$13*1000</f>
        <v>13.86403609</v>
      </c>
      <c r="H10" s="39">
        <f>($F10/$F$19)*'Canada National Model'!$D$16*1000</f>
        <v>5.545614436</v>
      </c>
      <c r="I10" s="39">
        <f>($F10/$F$19)*'Canada National Model'!$D$19*1000</f>
        <v>0.08318421654</v>
      </c>
      <c r="J10" s="40">
        <f>($F10/$F$19)*'Canada National Model'!$D$21*1000</f>
        <v>0.1663684331</v>
      </c>
    </row>
    <row r="11">
      <c r="B11" s="9" t="s">
        <v>174</v>
      </c>
      <c r="C11" s="30">
        <v>1.05</v>
      </c>
      <c r="D11" s="31">
        <f t="shared" si="1"/>
        <v>0.02589331952</v>
      </c>
      <c r="E11" s="32">
        <v>1.1</v>
      </c>
      <c r="F11" s="33">
        <f t="shared" si="2"/>
        <v>0.02848265148</v>
      </c>
      <c r="G11" s="34">
        <f>($F11/$F$19)*'Canada National Model'!$D$13*1000</f>
        <v>12.70869975</v>
      </c>
      <c r="H11" s="34">
        <f>($F11/$F$19)*'Canada National Model'!$D$16*1000</f>
        <v>5.083479899</v>
      </c>
      <c r="I11" s="34">
        <f>($F11/$F$19)*'Canada National Model'!$D$19*1000</f>
        <v>0.07625219849</v>
      </c>
      <c r="J11" s="28">
        <f>($F11/$F$19)*'Canada National Model'!$D$21*1000</f>
        <v>0.152504397</v>
      </c>
    </row>
    <row r="12">
      <c r="B12" s="20" t="s">
        <v>175</v>
      </c>
      <c r="C12" s="35">
        <v>0.85</v>
      </c>
      <c r="D12" s="36">
        <f t="shared" si="1"/>
        <v>0.02096125866</v>
      </c>
      <c r="E12" s="37">
        <v>1.08</v>
      </c>
      <c r="F12" s="38">
        <f t="shared" si="2"/>
        <v>0.02263815935</v>
      </c>
      <c r="G12" s="39">
        <f>($F12/$F$19)*'Canada National Model'!$D$13*1000</f>
        <v>10.10094058</v>
      </c>
      <c r="H12" s="39">
        <f>($F12/$F$19)*'Canada National Model'!$D$16*1000</f>
        <v>4.040376232</v>
      </c>
      <c r="I12" s="39">
        <f>($F12/$F$19)*'Canada National Model'!$D$19*1000</f>
        <v>0.06060564348</v>
      </c>
      <c r="J12" s="40">
        <f>($F12/$F$19)*'Canada National Model'!$D$21*1000</f>
        <v>0.121211287</v>
      </c>
    </row>
    <row r="13">
      <c r="B13" s="9" t="s">
        <v>177</v>
      </c>
      <c r="C13" s="30">
        <v>0.54</v>
      </c>
      <c r="D13" s="31">
        <f t="shared" si="1"/>
        <v>0.01331656433</v>
      </c>
      <c r="E13" s="32">
        <v>1.25</v>
      </c>
      <c r="F13" s="33">
        <f t="shared" si="2"/>
        <v>0.01664570541</v>
      </c>
      <c r="G13" s="34">
        <f>($F13/$F$19)*'Canada National Model'!$D$13*1000</f>
        <v>7.427162191</v>
      </c>
      <c r="H13" s="34">
        <f>($F13/$F$19)*'Canada National Model'!$D$16*1000</f>
        <v>2.970864876</v>
      </c>
      <c r="I13" s="34">
        <f>($F13/$F$19)*'Canada National Model'!$D$19*1000</f>
        <v>0.04456297314</v>
      </c>
      <c r="J13" s="28">
        <f>($F13/$F$19)*'Canada National Model'!$D$21*1000</f>
        <v>0.08912594629</v>
      </c>
    </row>
    <row r="14">
      <c r="B14" s="20" t="s">
        <v>179</v>
      </c>
      <c r="C14" s="35">
        <v>0.18</v>
      </c>
      <c r="D14" s="36">
        <f t="shared" si="1"/>
        <v>0.004438854775</v>
      </c>
      <c r="E14" s="37">
        <v>1.1</v>
      </c>
      <c r="F14" s="38">
        <f t="shared" si="2"/>
        <v>0.004882740253</v>
      </c>
      <c r="G14" s="39">
        <f>($F14/$F$19)*'Canada National Model'!$D$13*1000</f>
        <v>2.178634243</v>
      </c>
      <c r="H14" s="39">
        <f>($F14/$F$19)*'Canada National Model'!$D$16*1000</f>
        <v>0.871453697</v>
      </c>
      <c r="I14" s="39">
        <f>($F14/$F$19)*'Canada National Model'!$D$19*1000</f>
        <v>0.01307180546</v>
      </c>
      <c r="J14" s="40">
        <f>($F14/$F$19)*'Canada National Model'!$D$21*1000</f>
        <v>0.02614361091</v>
      </c>
    </row>
    <row r="15">
      <c r="B15" s="9" t="s">
        <v>181</v>
      </c>
      <c r="C15" s="30">
        <v>0.045</v>
      </c>
      <c r="D15" s="31">
        <f t="shared" si="1"/>
        <v>0.001109713694</v>
      </c>
      <c r="E15" s="32">
        <v>2.2</v>
      </c>
      <c r="F15" s="33">
        <f t="shared" si="2"/>
        <v>0.002441370127</v>
      </c>
      <c r="G15" s="34">
        <f>($F15/$F$19)*'Canada National Model'!$D$13*1000</f>
        <v>1.089317121</v>
      </c>
      <c r="H15" s="34">
        <f>($F15/$F$19)*'Canada National Model'!$D$16*1000</f>
        <v>0.4357268485</v>
      </c>
      <c r="I15" s="34">
        <f>($F15/$F$19)*'Canada National Model'!$D$19*1000</f>
        <v>0.006535902728</v>
      </c>
      <c r="J15" s="28">
        <f>($F15/$F$19)*'Canada National Model'!$D$21*1000</f>
        <v>0.01307180546</v>
      </c>
    </row>
    <row r="16">
      <c r="B16" s="20" t="s">
        <v>182</v>
      </c>
      <c r="C16" s="35">
        <v>0.045</v>
      </c>
      <c r="D16" s="36">
        <f t="shared" si="1"/>
        <v>0.001109713694</v>
      </c>
      <c r="E16" s="37">
        <v>1.9</v>
      </c>
      <c r="F16" s="38">
        <f t="shared" si="2"/>
        <v>0.002108456018</v>
      </c>
      <c r="G16" s="39">
        <f>($F16/$F$19)*'Canada National Model'!$D$13*1000</f>
        <v>0.9407738775</v>
      </c>
      <c r="H16" s="39">
        <f>($F16/$F$19)*'Canada National Model'!$D$16*1000</f>
        <v>0.376309551</v>
      </c>
      <c r="I16" s="39">
        <f>($F16/$F$19)*'Canada National Model'!$D$19*1000</f>
        <v>0.005644643265</v>
      </c>
      <c r="J16" s="40">
        <f>($F16/$F$19)*'Canada National Model'!$D$21*1000</f>
        <v>0.01128928653</v>
      </c>
    </row>
    <row r="17">
      <c r="B17" s="9" t="s">
        <v>184</v>
      </c>
      <c r="C17" s="30">
        <v>0.041</v>
      </c>
      <c r="D17" s="31">
        <f t="shared" si="1"/>
        <v>0.001011072477</v>
      </c>
      <c r="E17" s="32">
        <v>2.4</v>
      </c>
      <c r="F17" s="33">
        <f t="shared" si="2"/>
        <v>0.002426573944</v>
      </c>
      <c r="G17" s="34">
        <f>($F17/$F$19)*'Canada National Model'!$D$13*1000</f>
        <v>1.082715199</v>
      </c>
      <c r="H17" s="34">
        <f>($F17/$F$19)*'Canada National Model'!$D$16*1000</f>
        <v>0.4330860797</v>
      </c>
      <c r="I17" s="34">
        <f>($F17/$F$19)*'Canada National Model'!$D$19*1000</f>
        <v>0.006496291196</v>
      </c>
      <c r="J17" s="28">
        <f>($F17/$F$19)*'Canada National Model'!$D$21*1000</f>
        <v>0.01299258239</v>
      </c>
    </row>
    <row r="19">
      <c r="B19" s="42" t="s">
        <v>186</v>
      </c>
      <c r="F19" s="43">
        <f>SUM(F5:F17)</f>
        <v>0.9932652709</v>
      </c>
    </row>
    <row r="20">
      <c r="B20" s="18" t="s">
        <v>188</v>
      </c>
      <c r="C20" s="44"/>
      <c r="D20" s="44"/>
      <c r="E20" s="44"/>
      <c r="F20" s="44"/>
      <c r="G20" s="45">
        <f t="shared" ref="G20:J20" si="3">SUM(G5:G17)</f>
        <v>443.18592</v>
      </c>
      <c r="H20" s="45">
        <f t="shared" si="3"/>
        <v>177.274368</v>
      </c>
      <c r="I20" s="45">
        <f t="shared" si="3"/>
        <v>2.65911552</v>
      </c>
      <c r="J20" s="45">
        <f t="shared" si="3"/>
        <v>5.31823104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2026-09-07T15:16:13Z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