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c4dcab74c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2c7f041b71d94ebf"/>
    <x:sheet xmlns:r="http://schemas.openxmlformats.org/officeDocument/2006/relationships" name="Model Inputs" sheetId="2" r:id="Rba9e33575aa94d6c"/>
    <x:sheet xmlns:r="http://schemas.openxmlformats.org/officeDocument/2006/relationships" name="US State Market" sheetId="3" r:id="R534f879339bc4682"/>
    <x:sheet xmlns:r="http://schemas.openxmlformats.org/officeDocument/2006/relationships" name="Canada Market" sheetId="4" r:id="R5aaebf520150499f"/>
    <x:sheet xmlns:r="http://schemas.openxmlformats.org/officeDocument/2006/relationships" name="Commercial Roadmap" sheetId="5" r:id="R126d7ca49bed444d"/>
    <x:sheet xmlns:r="http://schemas.openxmlformats.org/officeDocument/2006/relationships" name="Sources &amp; Method" sheetId="6" r:id="Rbf6b1d74ed3b4e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$#,##0;[Red]($#,##0);-"/>
    <x:numFmt numFmtId="202" formatCode="$#,##0.00"/>
    <x:numFmt numFmtId="203" formatCode="0.00"/>
    <x:numFmt numFmtId="204" formatCode="$0.00"/>
    <x:numFmt numFmtId="205" formatCode="0.00%"/>
    <x:numFmt numFmtId="206" formatCode="0"/>
    <x:numFmt numFmtId="207" formatCode="0.0"/>
    <x:numFmt numFmtId="208" formatCode="$#,##0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i/>
      <x:sz val="11"/>
      <x:name val="Carlito"/>
    </x:font>
    <x:font>
      <x:b/>
      <x:sz val="11"/>
      <x:name val="Carlito"/>
    </x:font>
    <x:font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2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top style="thin">
        <x:color rgb="FF000000"/>
      </x:top>
    </x:border>
    <x:border>
      <x:top style="thin">
        <x:color rgb="FF000000"/>
      </x:top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</x:borders>
  <x:cellStyleXfs count="1">
    <x:xf numFmtId="0" fontId="0" fillId="0" borderId="0"/>
  </x:cellStyleXfs>
  <x:cellXfs count="4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4" fillId="0" borderId="0" xfId="0" applyNumberFormat="1" applyFont="1" applyFill="1" applyBorder="1"/>
    <x:xf numFmtId="203" fontId="5" fillId="0" borderId="0" xfId="0" applyNumberFormat="1" applyFont="1" applyFill="1" applyBorder="1"/>
    <x:xf numFmtId="203" fontId="4" fillId="5" borderId="0" xfId="0" applyNumberFormat="1" applyFont="1" applyFill="1" applyBorder="1"/>
    <x:xf numFmtId="203" fontId="4" fillId="0" borderId="1" xfId="0" applyNumberFormat="1" applyFont="1" applyFill="1" applyBorder="1"/>
    <x:xf numFmtId="203" fontId="5" fillId="0" borderId="1" xfId="0" applyNumberFormat="1" applyFont="1" applyFill="1" applyBorder="1"/>
    <x:xf numFmtId="203" fontId="4" fillId="5" borderId="1" xfId="0" applyNumberFormat="1" applyFont="1" applyFill="1" applyBorder="1"/>
    <x:xf numFmtId="204" fontId="4" fillId="5" borderId="0" xfId="0" applyNumberFormat="1" applyFont="1" applyFill="1" applyBorder="1"/>
    <x:xf numFmtId="204" fontId="4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wrapText="1"/>
    </x:xf>
    <x:xf numFmtId="203" fontId="5" fillId="0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4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3" fontId="4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204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1" xfId="0" applyNumberFormat="1" applyFont="1" applyFill="1" applyBorder="1"/>
    <x:xf numFmtId="0" fontId="7" fillId="6" borderId="9" xfId="0" applyNumberFormat="1" applyFont="1" applyFill="1" applyBorder="1"/>
    <x:xf numFmtId="203" fontId="0" fillId="0" borderId="0" xfId="0" applyNumberFormat="1" applyFont="1" applyFill="1" applyBorder="1"/>
    <x:xf numFmtId="203" fontId="7" fillId="6" borderId="8" xfId="0" applyNumberFormat="1" applyFont="1" applyFill="1" applyBorder="1"/>
    <x:xf numFmtId="203" fontId="0" fillId="0" borderId="1" xfId="0" applyNumberFormat="1" applyFont="1" applyFill="1" applyBorder="1"/>
    <x:xf numFmtId="203" fontId="7" fillId="6" borderId="9" xfId="0" applyNumberFormat="1" applyFont="1" applyFill="1" applyBorder="1"/>
    <x:xf numFmtId="205" fontId="0" fillId="0" borderId="0" xfId="0" applyNumberFormat="1" applyFont="1" applyFill="1" applyBorder="1"/>
    <x:xf numFmtId="205" fontId="7" fillId="6" borderId="8" xfId="0" applyNumberFormat="1" applyFont="1" applyFill="1" applyBorder="1"/>
    <x:xf numFmtId="205" fontId="0" fillId="0" borderId="1" xfId="0" applyNumberFormat="1" applyFont="1" applyFill="1" applyBorder="1"/>
    <x:xf numFmtId="205" fontId="7" fillId="6" borderId="9" xfId="0" applyNumberFormat="1" applyFont="1" applyFill="1" applyBorder="1"/>
    <x:xf numFmtId="204" fontId="0" fillId="0" borderId="0" xfId="0" applyNumberFormat="1" applyFont="1" applyFill="1" applyBorder="1"/>
    <x:xf numFmtId="204" fontId="7" fillId="6" borderId="8" xfId="0" applyNumberFormat="1" applyFont="1" applyFill="1" applyBorder="1"/>
    <x:xf numFmtId="204" fontId="0" fillId="0" borderId="1" xfId="0" applyNumberFormat="1" applyFont="1" applyFill="1" applyBorder="1"/>
    <x:xf numFmtId="204" fontId="7" fillId="6" borderId="9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wrapText="1"/>
    </x:xf>
    <x:xf numFmtId="203" fontId="7" fillId="6" borderId="8" xfId="0" applyNumberFormat="1" applyFont="1" applyFill="1" applyBorder="1" applyAlignment="1">
      <x:alignment wrapText="1"/>
    </x:xf>
    <x:xf numFmtId="205" fontId="7" fillId="6" borderId="8" xfId="0" applyNumberFormat="1" applyFont="1" applyFill="1" applyBorder="1" applyAlignment="1">
      <x:alignment wrapText="1"/>
    </x:xf>
    <x:xf numFmtId="204" fontId="7" fillId="6" borderId="8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203" fontId="7" fillId="6" borderId="9" xfId="0" applyNumberFormat="1" applyFont="1" applyFill="1" applyBorder="1" applyAlignment="1">
      <x:alignment wrapText="1"/>
    </x:xf>
    <x:xf numFmtId="205" fontId="7" fillId="6" borderId="9" xfId="0" applyNumberFormat="1" applyFont="1" applyFill="1" applyBorder="1" applyAlignment="1">
      <x:alignment wrapText="1"/>
    </x:xf>
    <x:xf numFmtId="204" fontId="7" fillId="6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3" fontId="0" fillId="0" borderId="11" xfId="0" applyNumberFormat="1" applyFont="1" applyFill="1" applyBorder="1" applyAlignment="1">
      <x:alignment wrapText="1"/>
    </x:xf>
    <x:xf numFmtId="205" fontId="0" fillId="0" borderId="11" xfId="0" applyNumberFormat="1" applyFont="1" applyFill="1" applyBorder="1" applyAlignment="1">
      <x:alignment wrapText="1"/>
    </x:xf>
    <x:xf numFmtId="204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5" fontId="0" fillId="0" borderId="16" xfId="0" applyNumberFormat="1" applyFont="1" applyFill="1" applyBorder="1" applyAlignment="1">
      <x:alignment wrapText="1"/>
    </x:xf>
    <x:xf numFmtId="204" fontId="0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203" fontId="0" fillId="0" borderId="19" xfId="0" applyNumberFormat="1" applyFont="1" applyFill="1" applyBorder="1" applyAlignment="1">
      <x:alignment wrapText="1"/>
    </x:xf>
    <x:xf numFmtId="205" fontId="0" fillId="0" borderId="19" xfId="0" applyNumberFormat="1" applyFont="1" applyFill="1" applyBorder="1" applyAlignment="1">
      <x:alignment wrapText="1"/>
    </x:xf>
    <x:xf numFmtId="204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3" fontId="0" fillId="0" borderId="24" xfId="0" applyNumberFormat="1" applyFont="1" applyFill="1" applyBorder="1" applyAlignment="1">
      <x:alignment wrapText="1"/>
    </x:xf>
    <x:xf numFmtId="205" fontId="0" fillId="0" borderId="24" xfId="0" applyNumberFormat="1" applyFont="1" applyFill="1" applyBorder="1" applyAlignment="1">
      <x:alignment wrapText="1"/>
    </x:xf>
    <x:xf numFmtId="204" fontId="0" fillId="0" borderId="24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205" fontId="8" fillId="0" borderId="11" xfId="0" applyNumberFormat="1" applyFont="1" applyFill="1" applyBorder="1" applyAlignment="1">
      <x:alignment wrapText="1"/>
    </x:xf>
    <x:xf numFmtId="203" fontId="8" fillId="0" borderId="11" xfId="0" applyNumberFormat="1" applyFont="1" applyFill="1" applyBorder="1" applyAlignment="1">
      <x:alignment wrapText="1"/>
    </x:xf>
    <x:xf numFmtId="204" fontId="8" fillId="0" borderId="11" xfId="0" applyNumberFormat="1" applyFont="1" applyFill="1" applyBorder="1" applyAlignment="1">
      <x:alignment wrapText="1"/>
    </x:xf>
    <x:xf numFmtId="205" fontId="8" fillId="0" borderId="0" xfId="0" applyNumberFormat="1" applyFont="1" applyFill="1" applyBorder="1" applyAlignment="1">
      <x:alignment wrapText="1"/>
    </x:xf>
    <x:xf numFmtId="203" fontId="8" fillId="0" borderId="0" xfId="0" applyNumberFormat="1" applyFont="1" applyFill="1" applyBorder="1" applyAlignment="1">
      <x:alignment wrapText="1"/>
    </x:xf>
    <x:xf numFmtId="204" fontId="8" fillId="0" borderId="0" xfId="0" applyNumberFormat="1" applyFont="1" applyFill="1" applyBorder="1" applyAlignment="1">
      <x:alignment wrapText="1"/>
    </x:xf>
    <x:xf numFmtId="205" fontId="8" fillId="0" borderId="16" xfId="0" applyNumberFormat="1" applyFont="1" applyFill="1" applyBorder="1" applyAlignment="1">
      <x:alignment wrapText="1"/>
    </x:xf>
    <x:xf numFmtId="203" fontId="8" fillId="0" borderId="16" xfId="0" applyNumberFormat="1" applyFont="1" applyFill="1" applyBorder="1" applyAlignment="1">
      <x:alignment wrapText="1"/>
    </x:xf>
    <x:xf numFmtId="204" fontId="8" fillId="0" borderId="16" xfId="0" applyNumberFormat="1" applyFont="1" applyFill="1" applyBorder="1" applyAlignment="1">
      <x:alignment wrapText="1"/>
    </x:xf>
    <x:xf numFmtId="205" fontId="8" fillId="0" borderId="19" xfId="0" applyNumberFormat="1" applyFont="1" applyFill="1" applyBorder="1" applyAlignment="1">
      <x:alignment wrapText="1"/>
    </x:xf>
    <x:xf numFmtId="203" fontId="8" fillId="0" borderId="19" xfId="0" applyNumberFormat="1" applyFont="1" applyFill="1" applyBorder="1" applyAlignment="1">
      <x:alignment wrapText="1"/>
    </x:xf>
    <x:xf numFmtId="204" fontId="8" fillId="0" borderId="19" xfId="0" applyNumberFormat="1" applyFont="1" applyFill="1" applyBorder="1" applyAlignment="1">
      <x:alignment wrapText="1"/>
    </x:xf>
    <x:xf numFmtId="205" fontId="8" fillId="0" borderId="1" xfId="0" applyNumberFormat="1" applyFont="1" applyFill="1" applyBorder="1" applyAlignment="1">
      <x:alignment wrapText="1"/>
    </x:xf>
    <x:xf numFmtId="203" fontId="8" fillId="0" borderId="1" xfId="0" applyNumberFormat="1" applyFont="1" applyFill="1" applyBorder="1" applyAlignment="1">
      <x:alignment wrapText="1"/>
    </x:xf>
    <x:xf numFmtId="204" fontId="8" fillId="0" borderId="1" xfId="0" applyNumberFormat="1" applyFont="1" applyFill="1" applyBorder="1" applyAlignment="1">
      <x:alignment wrapText="1"/>
    </x:xf>
    <x:xf numFmtId="205" fontId="8" fillId="0" borderId="24" xfId="0" applyNumberFormat="1" applyFont="1" applyFill="1" applyBorder="1" applyAlignment="1">
      <x:alignment wrapText="1"/>
    </x:xf>
    <x:xf numFmtId="203" fontId="8" fillId="0" borderId="24" xfId="0" applyNumberFormat="1" applyFont="1" applyFill="1" applyBorder="1" applyAlignment="1">
      <x:alignment wrapText="1"/>
    </x:xf>
    <x:xf numFmtId="204" fontId="8" fillId="0" borderId="24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3" fontId="8" fillId="0" borderId="0" xfId="0" applyNumberFormat="1" applyFont="1" applyFill="1" applyBorder="1"/>
    <x:xf numFmtId="203" fontId="8" fillId="0" borderId="1" xfId="0" applyNumberFormat="1" applyFont="1" applyFill="1" applyBorder="1"/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204" fontId="8" fillId="0" borderId="0" xfId="0" applyNumberFormat="1" applyFont="1" applyFill="1" applyBorder="1"/>
    <x:xf numFmtId="204" fontId="8" fillId="0" borderId="1" xfId="0" applyNumberFormat="1" applyFont="1" applyFill="1" applyBorder="1"/>
    <x:xf numFmtId="0" fontId="3" fillId="4" borderId="26" xfId="0" applyNumberFormat="1" applyFont="1" applyFill="1" applyBorder="1" applyAlignment="1">
      <x:alignment horizontal="center" vertical="center" wrapText="1"/>
    </x:xf>
    <x:xf numFmtId="0" fontId="3" fillId="4" borderId="27" xfId="0" applyNumberFormat="1" applyFont="1" applyFill="1" applyBorder="1" applyAlignment="1">
      <x:alignment horizontal="center" vertical="center" wrapText="1"/>
    </x:xf>
    <x:xf numFmtId="0" fontId="3" fillId="4" borderId="28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204" fontId="8" fillId="0" borderId="14" xfId="0" applyNumberFormat="1" applyFont="1" applyFill="1" applyBorder="1"/>
    <x:xf numFmtId="0" fontId="0" fillId="0" borderId="15" xfId="0" applyNumberFormat="1" applyFont="1" applyFill="1" applyBorder="1"/>
    <x:xf numFmtId="203" fontId="8" fillId="0" borderId="16" xfId="0" applyNumberFormat="1" applyFont="1" applyFill="1" applyBorder="1"/>
    <x:xf numFmtId="203" fontId="4" fillId="5" borderId="16" xfId="0" applyNumberFormat="1" applyFont="1" applyFill="1" applyBorder="1"/>
    <x:xf numFmtId="203" fontId="0" fillId="0" borderId="16" xfId="0" applyNumberFormat="1" applyFont="1" applyFill="1" applyBorder="1"/>
    <x:xf numFmtId="200" fontId="8" fillId="0" borderId="16" xfId="0" applyNumberFormat="1" applyFont="1" applyFill="1" applyBorder="1"/>
    <x:xf numFmtId="204" fontId="8" fillId="0" borderId="16" xfId="0" applyNumberFormat="1" applyFont="1" applyFill="1" applyBorder="1"/>
    <x:xf numFmtId="204" fontId="8" fillId="0" borderId="17" xfId="0" applyNumberFormat="1" applyFont="1" applyFill="1" applyBorder="1"/>
    <x:xf numFmtId="0" fontId="3" fillId="4" borderId="29" xfId="0" applyNumberFormat="1" applyFont="1" applyFill="1" applyBorder="1" applyAlignment="1">
      <x:alignment horizontal="center" vertical="center" wrapText="1"/>
    </x:xf>
    <x:xf numFmtId="0" fontId="3" fillId="4" borderId="30" xfId="0" applyNumberFormat="1" applyFont="1" applyFill="1" applyBorder="1" applyAlignment="1">
      <x:alignment horizontal="center" vertical="center" wrapText="1"/>
    </x:xf>
    <x:xf numFmtId="0" fontId="3" fillId="4" borderId="31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204" fontId="8" fillId="0" borderId="22" xfId="0" applyNumberFormat="1" applyFont="1" applyFill="1" applyBorder="1"/>
    <x:xf numFmtId="0" fontId="0" fillId="0" borderId="23" xfId="0" applyNumberFormat="1" applyFont="1" applyFill="1" applyBorder="1"/>
    <x:xf numFmtId="203" fontId="8" fillId="0" borderId="24" xfId="0" applyNumberFormat="1" applyFont="1" applyFill="1" applyBorder="1"/>
    <x:xf numFmtId="203" fontId="4" fillId="5" borderId="24" xfId="0" applyNumberFormat="1" applyFont="1" applyFill="1" applyBorder="1"/>
    <x:xf numFmtId="203" fontId="0" fillId="0" borderId="24" xfId="0" applyNumberFormat="1" applyFont="1" applyFill="1" applyBorder="1"/>
    <x:xf numFmtId="200" fontId="8" fillId="0" borderId="24" xfId="0" applyNumberFormat="1" applyFont="1" applyFill="1" applyBorder="1"/>
    <x:xf numFmtId="204" fontId="8" fillId="0" borderId="24" xfId="0" applyNumberFormat="1" applyFont="1" applyFill="1" applyBorder="1"/>
    <x:xf numFmtId="204" fontId="8" fillId="0" borderId="25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2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4" fontId="0" fillId="0" borderId="14" xfId="0" applyNumberFormat="1" applyFont="1" applyFill="1" applyBorder="1"/>
    <x:xf numFmtId="204" fontId="0" fillId="0" borderId="17" xfId="0" applyNumberFormat="1" applyFont="1" applyFill="1" applyBorder="1"/>
    <x:xf numFmtId="204" fontId="0" fillId="0" borderId="22" xfId="0" applyNumberFormat="1" applyFont="1" applyFill="1" applyBorder="1"/>
    <x:xf numFmtId="204" fontId="0" fillId="0" borderId="25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201" fontId="8" fillId="0" borderId="0" xfId="0" applyNumberFormat="1" applyFont="1" applyFill="1" applyBorder="1"/>
    <x:xf numFmtId="201" fontId="8" fillId="0" borderId="1" xfId="0" applyNumberFormat="1" applyFont="1" applyFill="1" applyBorder="1"/>
    <x:xf numFmtId="206" fontId="5" fillId="0" borderId="0" xfId="0" applyNumberFormat="1" applyFont="1" applyFill="1" applyBorder="1"/>
    <x:xf numFmtId="206" fontId="5" fillId="0" borderId="1" xfId="0" applyNumberFormat="1" applyFont="1" applyFill="1" applyBorder="1"/>
    <x:xf numFmtId="207" fontId="5" fillId="0" borderId="0" xfId="0" applyNumberFormat="1" applyFont="1" applyFill="1" applyBorder="1"/>
    <x:xf numFmtId="207" fontId="5" fillId="0" borderId="1" xfId="0" applyNumberFormat="1" applyFont="1" applyFill="1" applyBorder="1"/>
    <x:xf numFmtId="0" fontId="8" fillId="0" borderId="13" xfId="0" applyNumberFormat="1" applyFont="1" applyFill="1" applyBorder="1"/>
    <x:xf numFmtId="207" fontId="5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16" xfId="0" applyNumberFormat="1" applyFont="1" applyFill="1" applyBorder="1"/>
    <x:xf numFmtId="201" fontId="8" fillId="0" borderId="16" xfId="0" applyNumberFormat="1" applyFont="1" applyFill="1" applyBorder="1"/>
    <x:xf numFmtId="201" fontId="5" fillId="0" borderId="16" xfId="0" applyNumberFormat="1" applyFont="1" applyFill="1" applyBorder="1"/>
    <x:xf numFmtId="202" fontId="5" fillId="0" borderId="16" xfId="0" applyNumberFormat="1" applyFont="1" applyFill="1" applyBorder="1"/>
    <x:xf numFmtId="206" fontId="5" fillId="0" borderId="16" xfId="0" applyNumberFormat="1" applyFont="1" applyFill="1" applyBorder="1"/>
    <x:xf numFmtId="207" fontId="5" fillId="0" borderId="16" xfId="0" applyNumberFormat="1" applyFont="1" applyFill="1" applyBorder="1"/>
    <x:xf numFmtId="207" fontId="5" fillId="0" borderId="17" xfId="0" applyNumberFormat="1" applyFont="1" applyFill="1" applyBorder="1"/>
    <x:xf numFmtId="0" fontId="8" fillId="0" borderId="21" xfId="0" applyNumberFormat="1" applyFont="1" applyFill="1" applyBorder="1"/>
    <x:xf numFmtId="207" fontId="5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24" xfId="0" applyNumberFormat="1" applyFont="1" applyFill="1" applyBorder="1"/>
    <x:xf numFmtId="201" fontId="8" fillId="0" borderId="24" xfId="0" applyNumberFormat="1" applyFont="1" applyFill="1" applyBorder="1"/>
    <x:xf numFmtId="201" fontId="5" fillId="0" borderId="24" xfId="0" applyNumberFormat="1" applyFont="1" applyFill="1" applyBorder="1"/>
    <x:xf numFmtId="202" fontId="5" fillId="0" borderId="24" xfId="0" applyNumberFormat="1" applyFont="1" applyFill="1" applyBorder="1"/>
    <x:xf numFmtId="206" fontId="5" fillId="0" borderId="24" xfId="0" applyNumberFormat="1" applyFont="1" applyFill="1" applyBorder="1"/>
    <x:xf numFmtId="207" fontId="5" fillId="0" borderId="24" xfId="0" applyNumberFormat="1" applyFont="1" applyFill="1" applyBorder="1"/>
    <x:xf numFmtId="207" fontId="5" fillId="0" borderId="25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0" fillId="0" borderId="16" xfId="0" applyNumberFormat="1" applyFont="1" applyFill="1" applyBorder="1"/>
    <x:xf numFmtId="206" fontId="0" fillId="0" borderId="16" xfId="0" applyNumberFormat="1" applyFont="1" applyFill="1" applyBorder="1"/>
    <x:xf numFmtId="201" fontId="0" fillId="0" borderId="24" xfId="0" applyNumberFormat="1" applyFont="1" applyFill="1" applyBorder="1"/>
    <x:xf numFmtId="206" fontId="0" fillId="0" borderId="24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8" fontId="0" fillId="0" borderId="0" xfId="0" applyNumberFormat="1" applyFont="1" applyFill="1" applyBorder="1"/>
    <x:xf numFmtId="208" fontId="0" fillId="0" borderId="1" xfId="0" applyNumberFormat="1" applyFont="1" applyFill="1" applyBorder="1"/>
    <x:xf numFmtId="207" fontId="0" fillId="0" borderId="14" xfId="0" applyNumberFormat="1" applyFont="1" applyFill="1" applyBorder="1"/>
    <x:xf numFmtId="208" fontId="0" fillId="0" borderId="16" xfId="0" applyNumberFormat="1" applyFont="1" applyFill="1" applyBorder="1"/>
    <x:xf numFmtId="208" fontId="0" fillId="0" borderId="17" xfId="0" applyNumberFormat="1" applyFont="1" applyFill="1" applyBorder="1"/>
    <x:xf numFmtId="207" fontId="0" fillId="0" borderId="22" xfId="0" applyNumberFormat="1" applyFont="1" applyFill="1" applyBorder="1"/>
    <x:xf numFmtId="208" fontId="0" fillId="0" borderId="24" xfId="0" applyNumberFormat="1" applyFont="1" applyFill="1" applyBorder="1"/>
    <x:xf numFmtId="208" fontId="0" fillId="0" borderId="25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4" fontId="8" fillId="0" borderId="16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4" fontId="0" fillId="0" borderId="14" xfId="0" applyNumberFormat="1" applyFont="1" applyFill="1" applyBorder="1" applyAlignment="1">
      <x:alignment vertical="center"/>
    </x:xf>
    <x:xf numFmtId="203" fontId="8" fillId="0" borderId="16" xfId="0" applyNumberFormat="1" applyFont="1" applyFill="1" applyBorder="1" applyAlignment="1">
      <x:alignment vertical="center"/>
    </x:xf>
    <x:xf numFmtId="200" fontId="8" fillId="0" borderId="16" xfId="0" applyNumberFormat="1" applyFont="1" applyFill="1" applyBorder="1" applyAlignment="1">
      <x:alignment vertical="center"/>
    </x:xf>
    <x:xf numFmtId="204" fontId="0" fillId="0" borderId="17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6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/>
    </x:xf>
    <x:xf numFmtId="203" fontId="8" fillId="0" borderId="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204" fontId="8" fillId="0" borderId="1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204" fontId="8" fillId="0" borderId="24" xfId="0" applyNumberFormat="1" applyFont="1" applyFill="1" applyBorder="1" applyAlignment="1">
      <x:alignment vertical="center"/>
    </x:xf>
    <x:xf numFmtId="0" fontId="0" fillId="0" borderId="24" xfId="0" applyNumberFormat="1" applyFont="1" applyFill="1" applyBorder="1" applyAlignment="1">
      <x:alignment vertical="center"/>
    </x:xf>
    <x:xf numFmtId="0" fontId="0" fillId="0" borderId="25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4" fontId="0" fillId="0" borderId="22" xfId="0" applyNumberFormat="1" applyFont="1" applyFill="1" applyBorder="1" applyAlignment="1">
      <x:alignment vertical="center"/>
    </x:xf>
    <x:xf numFmtId="203" fontId="8" fillId="0" borderId="24" xfId="0" applyNumberFormat="1" applyFont="1" applyFill="1" applyBorder="1" applyAlignment="1">
      <x:alignment vertical="center"/>
    </x:xf>
    <x:xf numFmtId="200" fontId="8" fillId="0" borderId="24" xfId="0" applyNumberFormat="1" applyFont="1" applyFill="1" applyBorder="1" applyAlignment="1">
      <x:alignment vertical="center"/>
    </x:xf>
    <x:xf numFmtId="204" fontId="0" fillId="0" borderId="25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3" fontId="0" fillId="0" borderId="24" xfId="0" applyNumberFormat="1" applyFont="1" applyFill="1" applyBorder="1" applyAlignment="1">
      <x:alignment vertical="center"/>
    </x:xf>
    <x:xf numFmtId="0" fontId="7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4" fontId="4" fillId="5" borderId="0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 wrapText="1"/>
    </x:xf>
    <x:xf numFmtId="203" fontId="0" fillId="0" borderId="11" xfId="0" applyNumberFormat="1" applyFont="1" applyFill="1" applyBorder="1" applyAlignment="1">
      <x:alignment vertical="center" wrapText="1"/>
    </x:xf>
    <x:xf numFmtId="205" fontId="8" fillId="0" borderId="11" xfId="0" applyNumberFormat="1" applyFont="1" applyFill="1" applyBorder="1" applyAlignment="1">
      <x:alignment vertical="center" wrapText="1"/>
    </x:xf>
    <x:xf numFmtId="203" fontId="8" fillId="0" borderId="11" xfId="0" applyNumberFormat="1" applyFont="1" applyFill="1" applyBorder="1" applyAlignment="1">
      <x:alignment vertical="center" wrapText="1"/>
    </x:xf>
    <x:xf numFmtId="204" fontId="8" fillId="0" borderId="11" xfId="0" applyNumberFormat="1" applyFont="1" applyFill="1" applyBorder="1" applyAlignment="1">
      <x:alignment vertical="center" wrapText="1"/>
    </x:xf>
    <x:xf numFmtId="204" fontId="0" fillId="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5" fontId="8" fillId="0" borderId="0" xfId="0" applyNumberFormat="1" applyFont="1" applyFill="1" applyBorder="1" applyAlignment="1">
      <x:alignment vertical="center" wrapText="1"/>
    </x:xf>
    <x:xf numFmtId="203" fontId="8" fillId="0" borderId="0" xfId="0" applyNumberFormat="1" applyFont="1" applyFill="1" applyBorder="1" applyAlignment="1">
      <x:alignment vertical="center" wrapText="1"/>
    </x:xf>
    <x:xf numFmtId="204" fontId="8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3" fontId="0" fillId="0" borderId="16" xfId="0" applyNumberFormat="1" applyFont="1" applyFill="1" applyBorder="1" applyAlignment="1">
      <x:alignment vertical="center" wrapText="1"/>
    </x:xf>
    <x:xf numFmtId="205" fontId="8" fillId="0" borderId="16" xfId="0" applyNumberFormat="1" applyFont="1" applyFill="1" applyBorder="1" applyAlignment="1">
      <x:alignment vertical="center" wrapText="1"/>
    </x:xf>
    <x:xf numFmtId="203" fontId="8" fillId="0" borderId="16" xfId="0" applyNumberFormat="1" applyFont="1" applyFill="1" applyBorder="1" applyAlignment="1">
      <x:alignment vertical="center" wrapText="1"/>
    </x:xf>
    <x:xf numFmtId="204" fontId="8" fillId="0" borderId="16" xfId="0" applyNumberFormat="1" applyFont="1" applyFill="1" applyBorder="1" applyAlignment="1">
      <x:alignment vertical="center" wrapText="1"/>
    </x:xf>
    <x:xf numFmtId="204" fontId="0" fillId="0" borderId="16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7" fillId="6" borderId="8" xfId="0" applyNumberFormat="1" applyFont="1" applyFill="1" applyBorder="1" applyAlignment="1">
      <x:alignment vertical="center" wrapText="1"/>
    </x:xf>
    <x:xf numFmtId="203" fontId="7" fillId="6" borderId="8" xfId="0" applyNumberFormat="1" applyFont="1" applyFill="1" applyBorder="1" applyAlignment="1">
      <x:alignment vertical="center" wrapText="1"/>
    </x:xf>
    <x:xf numFmtId="205" fontId="7" fillId="6" borderId="8" xfId="0" applyNumberFormat="1" applyFont="1" applyFill="1" applyBorder="1" applyAlignment="1">
      <x:alignment vertical="center" wrapText="1"/>
    </x:xf>
    <x:xf numFmtId="204" fontId="7" fillId="6" borderId="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203" fontId="0" fillId="0" borderId="19" xfId="0" applyNumberFormat="1" applyFont="1" applyFill="1" applyBorder="1" applyAlignment="1">
      <x:alignment vertical="center" wrapText="1"/>
    </x:xf>
    <x:xf numFmtId="205" fontId="8" fillId="0" borderId="19" xfId="0" applyNumberFormat="1" applyFont="1" applyFill="1" applyBorder="1" applyAlignment="1">
      <x:alignment vertical="center" wrapText="1"/>
    </x:xf>
    <x:xf numFmtId="203" fontId="8" fillId="0" borderId="19" xfId="0" applyNumberFormat="1" applyFont="1" applyFill="1" applyBorder="1" applyAlignment="1">
      <x:alignment vertical="center" wrapText="1"/>
    </x:xf>
    <x:xf numFmtId="204" fontId="8" fillId="0" borderId="19" xfId="0" applyNumberFormat="1" applyFont="1" applyFill="1" applyBorder="1" applyAlignment="1">
      <x:alignment vertical="center" wrapText="1"/>
    </x:xf>
    <x:xf numFmtId="204" fontId="0" fillId="0" borderId="19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5" fontId="8" fillId="0" borderId="1" xfId="0" applyNumberFormat="1" applyFont="1" applyFill="1" applyBorder="1" applyAlignment="1">
      <x:alignment vertical="center" wrapText="1"/>
    </x:xf>
    <x:xf numFmtId="203" fontId="8" fillId="0" borderId="1" xfId="0" applyNumberFormat="1" applyFont="1" applyFill="1" applyBorder="1" applyAlignment="1">
      <x:alignment vertical="center" wrapText="1"/>
    </x:xf>
    <x:xf numFmtId="204" fontId="8" fillId="0" borderId="1" xfId="0" applyNumberFormat="1" applyFont="1" applyFill="1" applyBorder="1" applyAlignment="1">
      <x:alignment vertical="center" wrapText="1"/>
    </x:xf>
    <x:xf numFmtId="204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3" fontId="0" fillId="0" borderId="24" xfId="0" applyNumberFormat="1" applyFont="1" applyFill="1" applyBorder="1" applyAlignment="1">
      <x:alignment vertical="center" wrapText="1"/>
    </x:xf>
    <x:xf numFmtId="205" fontId="8" fillId="0" borderId="24" xfId="0" applyNumberFormat="1" applyFont="1" applyFill="1" applyBorder="1" applyAlignment="1">
      <x:alignment vertical="center" wrapText="1"/>
    </x:xf>
    <x:xf numFmtId="203" fontId="8" fillId="0" borderId="24" xfId="0" applyNumberFormat="1" applyFont="1" applyFill="1" applyBorder="1" applyAlignment="1">
      <x:alignment vertical="center" wrapText="1"/>
    </x:xf>
    <x:xf numFmtId="204" fontId="8" fillId="0" borderId="24" xfId="0" applyNumberFormat="1" applyFont="1" applyFill="1" applyBorder="1" applyAlignment="1">
      <x:alignment vertical="center" wrapText="1"/>
    </x:xf>
    <x:xf numFmtId="204" fontId="0" fillId="0" borderId="24" xfId="0" applyNumberFormat="1" applyFont="1" applyFill="1" applyBorder="1" applyAlignment="1">
      <x:alignment vertical="center" wrapText="1"/>
    </x:xf>
    <x:xf numFmtId="0" fontId="0" fillId="0" borderId="24" xfId="0" applyNumberFormat="1" applyFont="1" applyFill="1" applyBorder="1" applyAlignment="1">
      <x:alignment vertical="center" wrapText="1"/>
    </x:xf>
    <x:xf numFmtId="0" fontId="0" fillId="0" borderId="25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203" fontId="7" fillId="6" borderId="9" xfId="0" applyNumberFormat="1" applyFont="1" applyFill="1" applyBorder="1" applyAlignment="1">
      <x:alignment vertical="center" wrapText="1"/>
    </x:xf>
    <x:xf numFmtId="205" fontId="7" fillId="6" borderId="9" xfId="0" applyNumberFormat="1" applyFont="1" applyFill="1" applyBorder="1" applyAlignment="1">
      <x:alignment vertical="center" wrapText="1"/>
    </x:xf>
    <x:xf numFmtId="204" fontId="7" fillId="6" borderId="9" xfId="0" applyNumberFormat="1" applyFont="1" applyFill="1" applyBorder="1" applyAlignment="1">
      <x:alignment vertical="center" wrapText="1"/>
    </x:xf>
    <x:xf numFmtId="203" fontId="4" fillId="5" borderId="0" xfId="0" applyNumberFormat="1" applyFont="1" applyFill="1" applyBorder="1" applyAlignment="1">
      <x:alignment vertical="center"/>
    </x:xf>
    <x:xf numFmtId="204" fontId="8" fillId="0" borderId="14" xfId="0" applyNumberFormat="1" applyFont="1" applyFill="1" applyBorder="1" applyAlignment="1">
      <x:alignment vertical="center"/>
    </x:xf>
    <x:xf numFmtId="203" fontId="4" fillId="5" borderId="16" xfId="0" applyNumberFormat="1" applyFont="1" applyFill="1" applyBorder="1" applyAlignment="1">
      <x:alignment vertical="center"/>
    </x:xf>
    <x:xf numFmtId="204" fontId="8" fillId="0" borderId="17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204" fontId="8" fillId="0" borderId="22" xfId="0" applyNumberFormat="1" applyFont="1" applyFill="1" applyBorder="1" applyAlignment="1">
      <x:alignment vertical="center"/>
    </x:xf>
    <x:xf numFmtId="203" fontId="4" fillId="5" borderId="24" xfId="0" applyNumberFormat="1" applyFont="1" applyFill="1" applyBorder="1" applyAlignment="1">
      <x:alignment vertical="center"/>
    </x:xf>
    <x:xf numFmtId="204" fontId="8" fillId="0" borderId="25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vertical="center"/>
    </x:xf>
    <x:xf numFmtId="207" fontId="5" fillId="0" borderId="0" xfId="0" applyNumberFormat="1" applyFont="1" applyFill="1" applyBorder="1" applyAlignment="1">
      <x:alignment vertical="center"/>
    </x:xf>
    <x:xf numFmtId="207" fontId="5" fillId="0" borderId="14" xfId="0" applyNumberFormat="1" applyFont="1" applyFill="1" applyBorder="1" applyAlignment="1">
      <x:alignment vertical="center"/>
    </x:xf>
    <x:xf numFmtId="0" fontId="8" fillId="0" borderId="15" xfId="0" applyNumberFormat="1" applyFont="1" applyFill="1" applyBorder="1" applyAlignment="1">
      <x:alignment vertical="center"/>
    </x:xf>
    <x:xf numFmtId="0" fontId="8" fillId="0" borderId="16" xfId="0" applyNumberFormat="1" applyFont="1" applyFill="1" applyBorder="1" applyAlignment="1">
      <x:alignment vertical="center"/>
    </x:xf>
    <x:xf numFmtId="201" fontId="8" fillId="0" borderId="16" xfId="0" applyNumberFormat="1" applyFont="1" applyFill="1" applyBorder="1" applyAlignment="1">
      <x:alignment vertical="center"/>
    </x:xf>
    <x:xf numFmtId="201" fontId="5" fillId="0" borderId="16" xfId="0" applyNumberFormat="1" applyFont="1" applyFill="1" applyBorder="1" applyAlignment="1">
      <x:alignment vertical="center"/>
    </x:xf>
    <x:xf numFmtId="202" fontId="5" fillId="0" borderId="16" xfId="0" applyNumberFormat="1" applyFont="1" applyFill="1" applyBorder="1" applyAlignment="1">
      <x:alignment vertical="center"/>
    </x:xf>
    <x:xf numFmtId="206" fontId="5" fillId="0" borderId="16" xfId="0" applyNumberFormat="1" applyFont="1" applyFill="1" applyBorder="1" applyAlignment="1">
      <x:alignment vertical="center"/>
    </x:xf>
    <x:xf numFmtId="207" fontId="5" fillId="0" borderId="16" xfId="0" applyNumberFormat="1" applyFont="1" applyFill="1" applyBorder="1" applyAlignment="1">
      <x:alignment vertical="center"/>
    </x:xf>
    <x:xf numFmtId="207" fontId="5" fillId="0" borderId="17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6" fontId="0" fillId="0" borderId="16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 applyAlignment="1">
      <x:alignment vertical="center"/>
    </x:xf>
    <x:xf numFmtId="207" fontId="0" fillId="0" borderId="14" xfId="0" applyNumberFormat="1" applyFont="1" applyFill="1" applyBorder="1" applyAlignment="1">
      <x:alignment vertical="center"/>
    </x:xf>
    <x:xf numFmtId="208" fontId="0" fillId="0" borderId="16" xfId="0" applyNumberFormat="1" applyFont="1" applyFill="1" applyBorder="1" applyAlignment="1">
      <x:alignment vertical="center"/>
    </x:xf>
    <x:xf numFmtId="208" fontId="0" fillId="0" borderId="17" xfId="0" applyNumberFormat="1" applyFont="1" applyFill="1" applyBorder="1" applyAlignment="1">
      <x:alignment vertical="center"/>
    </x:xf>
    <x:xf numFmtId="0" fontId="8" fillId="0" borderId="21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6" fontId="5" fillId="0" borderId="1" xfId="0" applyNumberFormat="1" applyFont="1" applyFill="1" applyBorder="1" applyAlignment="1">
      <x:alignment vertical="center"/>
    </x:xf>
    <x:xf numFmtId="207" fontId="5" fillId="0" borderId="1" xfId="0" applyNumberFormat="1" applyFont="1" applyFill="1" applyBorder="1" applyAlignment="1">
      <x:alignment vertical="center"/>
    </x:xf>
    <x:xf numFmtId="207" fontId="5" fillId="0" borderId="22" xfId="0" applyNumberFormat="1" applyFont="1" applyFill="1" applyBorder="1" applyAlignment="1">
      <x:alignment vertical="center"/>
    </x:xf>
    <x:xf numFmtId="0" fontId="8" fillId="0" borderId="23" xfId="0" applyNumberFormat="1" applyFont="1" applyFill="1" applyBorder="1" applyAlignment="1">
      <x:alignment vertical="center"/>
    </x:xf>
    <x:xf numFmtId="0" fontId="8" fillId="0" borderId="24" xfId="0" applyNumberFormat="1" applyFont="1" applyFill="1" applyBorder="1" applyAlignment="1">
      <x:alignment vertical="center"/>
    </x:xf>
    <x:xf numFmtId="201" fontId="8" fillId="0" borderId="24" xfId="0" applyNumberFormat="1" applyFont="1" applyFill="1" applyBorder="1" applyAlignment="1">
      <x:alignment vertical="center"/>
    </x:xf>
    <x:xf numFmtId="201" fontId="5" fillId="0" borderId="24" xfId="0" applyNumberFormat="1" applyFont="1" applyFill="1" applyBorder="1" applyAlignment="1">
      <x:alignment vertical="center"/>
    </x:xf>
    <x:xf numFmtId="202" fontId="5" fillId="0" borderId="24" xfId="0" applyNumberFormat="1" applyFont="1" applyFill="1" applyBorder="1" applyAlignment="1">
      <x:alignment vertical="center"/>
    </x:xf>
    <x:xf numFmtId="206" fontId="5" fillId="0" borderId="24" xfId="0" applyNumberFormat="1" applyFont="1" applyFill="1" applyBorder="1" applyAlignment="1">
      <x:alignment vertical="center"/>
    </x:xf>
    <x:xf numFmtId="207" fontId="5" fillId="0" borderId="24" xfId="0" applyNumberFormat="1" applyFont="1" applyFill="1" applyBorder="1" applyAlignment="1">
      <x:alignment vertical="center"/>
    </x:xf>
    <x:xf numFmtId="207" fontId="5" fillId="0" borderId="25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6" fontId="0" fillId="0" borderId="1" xfId="0" applyNumberFormat="1" applyFont="1" applyFill="1" applyBorder="1" applyAlignment="1">
      <x:alignment vertical="center"/>
    </x:xf>
    <x:xf numFmtId="201" fontId="0" fillId="0" borderId="24" xfId="0" applyNumberFormat="1" applyFont="1" applyFill="1" applyBorder="1" applyAlignment="1">
      <x:alignment vertical="center"/>
    </x:xf>
    <x:xf numFmtId="206" fontId="0" fillId="0" borderId="24" xfId="0" applyNumberFormat="1" applyFont="1" applyFill="1" applyBorder="1" applyAlignment="1">
      <x:alignment vertical="center"/>
    </x:xf>
    <x:xf numFmtId="207" fontId="0" fillId="0" borderId="1" xfId="0" applyNumberFormat="1" applyFont="1" applyFill="1" applyBorder="1" applyAlignment="1">
      <x:alignment vertical="center"/>
    </x:xf>
    <x:xf numFmtId="207" fontId="0" fillId="0" borderId="22" xfId="0" applyNumberFormat="1" applyFont="1" applyFill="1" applyBorder="1" applyAlignment="1">
      <x:alignment vertical="center"/>
    </x:xf>
    <x:xf numFmtId="208" fontId="0" fillId="0" borderId="24" xfId="0" applyNumberFormat="1" applyFont="1" applyFill="1" applyBorder="1" applyAlignment="1">
      <x:alignment vertical="center"/>
    </x:xf>
    <x:xf numFmtId="208" fontId="0" fillId="0" borderId="25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8" fillId="0" borderId="16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202" fontId="8" fillId="0" borderId="24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  <x:xf numFmtId="202" fontId="0" fillId="0" borderId="17" xfId="0" applyNumberFormat="1" applyFont="1" applyFill="1" applyBorder="1" applyAlignment="1">
      <x:alignment vertical="center"/>
    </x:xf>
    <x:xf numFmtId="202" fontId="0" fillId="0" borderId="22" xfId="0" applyNumberFormat="1" applyFont="1" applyFill="1" applyBorder="1" applyAlignment="1">
      <x:alignment vertical="center"/>
    </x:xf>
    <x:xf numFmtId="202" fontId="0" fillId="0" borderId="25" xfId="0" applyNumberFormat="1" applyFont="1" applyFill="1" applyBorder="1" applyAlignment="1">
      <x:alignment vertical="center"/>
    </x:xf>
    <x:xf numFmtId="202" fontId="8" fillId="0" borderId="11" xfId="0" applyNumberFormat="1" applyFont="1" applyFill="1" applyBorder="1" applyAlignment="1">
      <x:alignment vertical="center" wrapText="1"/>
    </x:xf>
    <x:xf numFmtId="202" fontId="0" fillId="0" borderId="11" xfId="0" applyNumberFormat="1" applyFont="1" applyFill="1" applyBorder="1" applyAlignment="1">
      <x:alignment vertical="center" wrapText="1"/>
    </x:xf>
    <x:xf numFmtId="202" fontId="8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8" fillId="0" borderId="16" xfId="0" applyNumberFormat="1" applyFont="1" applyFill="1" applyBorder="1" applyAlignment="1">
      <x:alignment vertical="center" wrapText="1"/>
    </x:xf>
    <x:xf numFmtId="202" fontId="0" fillId="0" borderId="16" xfId="0" applyNumberFormat="1" applyFont="1" applyFill="1" applyBorder="1" applyAlignment="1">
      <x:alignment vertical="center" wrapText="1"/>
    </x:xf>
    <x:xf numFmtId="202" fontId="7" fillId="6" borderId="8" xfId="0" applyNumberFormat="1" applyFont="1" applyFill="1" applyBorder="1" applyAlignment="1">
      <x:alignment vertical="center" wrapText="1"/>
    </x:xf>
    <x:xf numFmtId="202" fontId="8" fillId="0" borderId="19" xfId="0" applyNumberFormat="1" applyFont="1" applyFill="1" applyBorder="1" applyAlignment="1">
      <x:alignment vertical="center" wrapText="1"/>
    </x:xf>
    <x:xf numFmtId="202" fontId="0" fillId="0" borderId="19" xfId="0" applyNumberFormat="1" applyFont="1" applyFill="1" applyBorder="1" applyAlignment="1">
      <x:alignment vertical="center" wrapText="1"/>
    </x:xf>
    <x:xf numFmtId="202" fontId="8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8" fillId="0" borderId="24" xfId="0" applyNumberFormat="1" applyFont="1" applyFill="1" applyBorder="1" applyAlignment="1">
      <x:alignment vertical="center" wrapText="1"/>
    </x:xf>
    <x:xf numFmtId="202" fontId="0" fillId="0" borderId="24" xfId="0" applyNumberFormat="1" applyFont="1" applyFill="1" applyBorder="1" applyAlignment="1">
      <x:alignment vertical="center" wrapText="1"/>
    </x:xf>
    <x:xf numFmtId="202" fontId="7" fillId="6" borderId="9" xfId="0" applyNumberFormat="1" applyFont="1" applyFill="1" applyBorder="1" applyAlignment="1">
      <x:alignment vertical="center" wrapText="1"/>
    </x:xf>
    <x:xf numFmtId="202" fontId="8" fillId="0" borderId="14" xfId="0" applyNumberFormat="1" applyFont="1" applyFill="1" applyBorder="1" applyAlignment="1">
      <x:alignment vertical="center"/>
    </x:xf>
    <x:xf numFmtId="202" fontId="8" fillId="0" borderId="17" xfId="0" applyNumberFormat="1" applyFont="1" applyFill="1" applyBorder="1" applyAlignment="1">
      <x:alignment vertical="center"/>
    </x:xf>
    <x:xf numFmtId="202" fontId="8" fillId="0" borderId="22" xfId="0" applyNumberFormat="1" applyFont="1" applyFill="1" applyBorder="1" applyAlignment="1">
      <x:alignment vertical="center"/>
    </x:xf>
    <x:xf numFmtId="202" fontId="8" fillId="0" borderId="2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61348be1bf42d7" /><Relationship Type="http://schemas.openxmlformats.org/officeDocument/2006/relationships/theme" Target="/xl/theme/theme1.xml" Id="Re27af602c1054b51" /><Relationship Type="http://schemas.openxmlformats.org/officeDocument/2006/relationships/sharedStrings" Target="/xl/sharedStrings.xml" Id="R9c3d515d9ef84b0a" /><Relationship Type="http://schemas.openxmlformats.org/officeDocument/2006/relationships/worksheet" Target="/xl/worksheets/sheet1.xml" Id="R2c7f041b71d94ebf" /><Relationship Type="http://schemas.openxmlformats.org/officeDocument/2006/relationships/worksheet" Target="/xl/worksheets/sheet2.xml" Id="Rba9e33575aa94d6c" /><Relationship Type="http://schemas.openxmlformats.org/officeDocument/2006/relationships/worksheet" Target="/xl/worksheets/sheet3.xml" Id="R534f879339bc4682" /><Relationship Type="http://schemas.openxmlformats.org/officeDocument/2006/relationships/worksheet" Target="/xl/worksheets/sheet4.xml" Id="R5aaebf520150499f" /><Relationship Type="http://schemas.openxmlformats.org/officeDocument/2006/relationships/worksheet" Target="/xl/worksheets/sheet5.xml" Id="R126d7ca49bed444d" /><Relationship Type="http://schemas.openxmlformats.org/officeDocument/2006/relationships/worksheet" Target="/xl/worksheets/sheet6.xml" Id="Rbf6b1d74ed3b4e3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6ef8bf0b5c84f3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98e239180624c4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TAM ($M)</c:v>
          </c:tx>
          <c:cat>
            <c:strRef>
              <c:f>='Executive Summary'!$B$24:$B$33</c:f>
              <c:strCache>
                <c:ptCount val="0"/>
              </c:strCache>
            </c:strRef>
          </c:cat>
          <c:val>
            <c:numRef>
              <c:f>='Executive Summary'!$E$24:$E$33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Customers</c:v>
          </c:tx>
          <c:cat>
            <c:strRef>
              <c:f>='Commercial Roadmap'!$A$7:$A$11</c:f>
              <c:strCache>
                <c:ptCount val="0"/>
              </c:strCache>
            </c:strRef>
          </c:cat>
          <c:val>
            <c:numRef>
              <c:f>='Commercial Roadmap'!$H$7:$H$11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6ef8bf0b5c84f3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4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8e239180624c4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41616d7452f43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48b138f9dcd34d10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ClearAuth-style Healthcare Prior Authorization — TAM / SAM / SOM &amp; Commercial Model</x:v>
      </x:c>
      <x:c r="B1" s="5"/>
      <x:c r="C1" s="5"/>
      <x:c r="D1" s="5"/>
      <x:c r="E1" s="5"/>
      <x:c r="F1" s="5"/>
      <x:c r="G1" s="5"/>
      <x:c r="H1" s="5"/>
      <x:c r="I1" s="269"/>
      <x:c r="J1" s="269"/>
      <x:c r="K1" s="269"/>
      <x:c r="L1" s="269"/>
      <x:c r="M1" s="269"/>
    </x:row>
    <x:row r="2">
      <x:c r="A2" s="270" t="str">
        <x:v>Pitch-ready bottom-up market sizing for the U.S. and Canada, with state-level GTM allocation and proposed licensing / break-even model.</x:v>
      </x:c>
      <x:c r="B2" s="270"/>
      <x:c r="C2" s="270"/>
      <x:c r="D2" s="270"/>
      <x:c r="E2" s="270"/>
      <x:c r="F2" s="270"/>
      <x:c r="G2" s="270"/>
      <x:c r="H2" s="270"/>
      <x:c r="I2" s="269"/>
      <x:c r="J2" s="269"/>
      <x:c r="K2" s="269"/>
      <x:c r="L2" s="269"/>
      <x:c r="M2" s="269"/>
    </x:row>
    <x:row r="3">
      <x:c r="A3" s="269"/>
      <x:c r="B3" s="269"/>
      <x:c r="C3" s="269"/>
      <x:c r="D3" s="269"/>
      <x:c r="E3" s="269"/>
      <x:c r="F3" s="269"/>
      <x:c r="G3" s="269"/>
      <x:c r="H3" s="269"/>
      <x:c r="I3" s="269"/>
      <x:c r="J3" s="269"/>
      <x:c r="K3" s="269"/>
      <x:c r="L3" s="269"/>
      <x:c r="M3" s="269"/>
    </x:row>
    <x:row r="4">
      <x:c r="A4" s="13" t="str">
        <x:v>Core Market KPIs</x:v>
      </x:c>
      <x:c r="B4" s="13"/>
      <x:c r="C4" s="13"/>
      <x:c r="D4" s="13"/>
      <x:c r="E4" s="269"/>
      <x:c r="F4" s="269"/>
      <x:c r="G4" s="269"/>
      <x:c r="H4" s="269"/>
      <x:c r="I4" s="269"/>
      <x:c r="J4" s="269"/>
      <x:c r="K4" s="269"/>
      <x:c r="L4" s="269"/>
      <x:c r="M4" s="269"/>
    </x:row>
    <x:row r="5">
      <x:c r="A5" s="182" t="str">
        <x:v>Metric</x:v>
      </x:c>
      <x:c r="B5" s="183" t="str">
        <x:v>Value</x:v>
      </x:c>
      <x:c r="C5" s="183" t="str">
        <x:v>Unit</x:v>
      </x:c>
      <x:c r="D5" s="184" t="str">
        <x:v>Interpretation</x:v>
      </x:c>
      <x:c r="E5" s="269"/>
      <x:c r="F5" s="269"/>
      <x:c r="G5" s="269"/>
      <x:c r="H5" s="269"/>
      <x:c r="I5" s="269"/>
      <x:c r="J5" s="269"/>
      <x:c r="K5" s="269"/>
      <x:c r="L5" s="269"/>
      <x:c r="M5" s="269"/>
    </x:row>
    <x:row r="6">
      <x:c r="A6" s="271" t="str">
        <x:v>U.S. annual medical PA volume</x:v>
      </x:c>
      <x:c r="B6" s="272" t="n">
        <x:f>'Model Inputs'!B5</x:f>
        <x:v>272</x:v>
      </x:c>
      <x:c r="C6" s="269" t="str">
        <x:v>M transactions</x:v>
      </x:c>
      <x:c r="D6" s="273" t="str">
        <x:v>CAQH national volume</x:v>
      </x:c>
      <x:c r="E6" s="269"/>
      <x:c r="F6" s="269"/>
      <x:c r="G6" s="269"/>
      <x:c r="H6" s="269"/>
      <x:c r="I6" s="269"/>
      <x:c r="J6" s="269"/>
      <x:c r="K6" s="269"/>
      <x:c r="L6" s="269"/>
      <x:c r="M6" s="269"/>
    </x:row>
    <x:row r="7">
      <x:c r="A7" s="271" t="str">
        <x:v>U.S. non-fully-electronic PA volume</x:v>
      </x:c>
      <x:c r="B7" s="272" t="n">
        <x:f>'Model Inputs'!B9</x:f>
        <x:v>177</x:v>
      </x:c>
      <x:c r="C7" s="269" t="str">
        <x:v>M transactions</x:v>
      </x:c>
      <x:c r="D7" s="273" t="str">
        <x:v>Partial + manual; core automation pool</x:v>
      </x:c>
      <x:c r="E7" s="269"/>
      <x:c r="F7" s="269"/>
      <x:c r="G7" s="269"/>
      <x:c r="H7" s="269"/>
      <x:c r="I7" s="269"/>
      <x:c r="J7" s="269"/>
      <x:c r="K7" s="269"/>
      <x:c r="L7" s="269"/>
      <x:c r="M7" s="269"/>
    </x:row>
    <x:row r="8">
      <x:c r="A8" s="271" t="str">
        <x:v>U.S. TAM</x:v>
      </x:c>
      <x:c r="B8" s="435" t="n">
        <x:f>'Model Inputs'!B5*'Model Inputs'!B10</x:f>
        <x:v>1088</x:v>
      </x:c>
      <x:c r="C8" s="269" t="str">
        <x:v>$M / year</x:v>
      </x:c>
      <x:c r="D8" s="273" t="str">
        <x:v>All PA volume × base $/PA</x:v>
      </x:c>
      <x:c r="E8" s="269"/>
      <x:c r="F8" s="269"/>
      <x:c r="G8" s="269"/>
      <x:c r="H8" s="269"/>
      <x:c r="I8" s="269"/>
      <x:c r="J8" s="269"/>
      <x:c r="K8" s="269"/>
      <x:c r="L8" s="269"/>
      <x:c r="M8" s="269"/>
    </x:row>
    <x:row r="9">
      <x:c r="A9" s="271" t="str">
        <x:v>U.S. Core SAM</x:v>
      </x:c>
      <x:c r="B9" s="435" t="n">
        <x:f>'Model Inputs'!B9*'Model Inputs'!B10</x:f>
        <x:v>708</x:v>
      </x:c>
      <x:c r="C9" s="269" t="str">
        <x:v>$M / year</x:v>
      </x:c>
      <x:c r="D9" s="273" t="str">
        <x:v>Partial + manual × base $/PA</x:v>
      </x:c>
      <x:c r="E9" s="269"/>
      <x:c r="F9" s="269"/>
      <x:c r="G9" s="269"/>
      <x:c r="H9" s="269"/>
      <x:c r="I9" s="269"/>
      <x:c r="J9" s="269"/>
      <x:c r="K9" s="269"/>
      <x:c r="L9" s="269"/>
      <x:c r="M9" s="269"/>
    </x:row>
    <x:row r="10">
      <x:c r="A10" s="271" t="str">
        <x:v>U.S. 1% SOM</x:v>
      </x:c>
      <x:c r="B10" s="435" t="n">
        <x:f>B9*1%</x:f>
        <x:v>7.08</x:v>
      </x:c>
      <x:c r="C10" s="269" t="str">
        <x:v>$M / year</x:v>
      </x:c>
      <x:c r="D10" s="273" t="str">
        <x:v>1% of Core SAM</x:v>
      </x:c>
      <x:c r="E10" s="269"/>
      <x:c r="F10" s="269"/>
      <x:c r="G10" s="269"/>
      <x:c r="H10" s="269"/>
      <x:c r="I10" s="269"/>
      <x:c r="J10" s="269"/>
      <x:c r="K10" s="269"/>
      <x:c r="L10" s="269"/>
      <x:c r="M10" s="269"/>
    </x:row>
    <x:row r="11">
      <x:c r="A11" s="271" t="str">
        <x:v>U.S. 2% SOM</x:v>
      </x:c>
      <x:c r="B11" s="435" t="n">
        <x:f>B9*2%</x:f>
        <x:v>14.16</x:v>
      </x:c>
      <x:c r="C11" s="269" t="str">
        <x:v>$M / year</x:v>
      </x:c>
      <x:c r="D11" s="273" t="str">
        <x:v>2% of Core SAM</x:v>
      </x:c>
      <x:c r="E11" s="269"/>
      <x:c r="F11" s="269"/>
      <x:c r="G11" s="269"/>
      <x:c r="H11" s="269"/>
      <x:c r="I11" s="269"/>
      <x:c r="J11" s="269"/>
      <x:c r="K11" s="269"/>
      <x:c r="L11" s="269"/>
      <x:c r="M11" s="269"/>
    </x:row>
    <x:row r="12">
      <x:c r="A12" s="271" t="str">
        <x:v>Canada Base TAM</x:v>
      </x:c>
      <x:c r="B12" s="435" t="n">
        <x:f>'Canada Market'!E6</x:f>
        <x:v>16.2</x:v>
      </x:c>
      <x:c r="C12" s="269" t="str">
        <x:v>$M / year</x:v>
      </x:c>
      <x:c r="D12" s="273" t="str">
        <x:v>Scenario model</x:v>
      </x:c>
      <x:c r="E12" s="269"/>
      <x:c r="F12" s="269"/>
      <x:c r="G12" s="269"/>
      <x:c r="H12" s="269"/>
      <x:c r="I12" s="269"/>
      <x:c r="J12" s="269"/>
      <x:c r="K12" s="269"/>
      <x:c r="L12" s="269"/>
      <x:c r="M12" s="269"/>
    </x:row>
    <x:row r="13">
      <x:c r="A13" s="275" t="str">
        <x:v>North America Base TAM</x:v>
      </x:c>
      <x:c r="B13" s="436" t="n">
        <x:f>B8+B12</x:f>
        <x:v>1104.2</x:v>
      </x:c>
      <x:c r="C13" s="277" t="str">
        <x:v>$M / year</x:v>
      </x:c>
      <x:c r="D13" s="278" t="str">
        <x:v>U.S. + Canada base</x:v>
      </x:c>
      <x:c r="E13" s="269"/>
      <x:c r="F13" s="269"/>
      <x:c r="G13" s="269"/>
      <x:c r="H13" s="269"/>
      <x:c r="I13" s="269"/>
      <x:c r="J13" s="269"/>
      <x:c r="K13" s="269"/>
      <x:c r="L13" s="269"/>
      <x:c r="M13" s="269"/>
    </x:row>
    <x:row r="14">
      <x:c r="A14" s="269"/>
      <x:c r="B14" s="269"/>
      <x:c r="C14" s="269"/>
      <x:c r="D14" s="269"/>
      <x:c r="E14" s="269"/>
      <x:c r="F14" s="269"/>
      <x:c r="G14" s="269"/>
      <x:c r="H14" s="269"/>
      <x:c r="I14" s="269"/>
      <x:c r="J14" s="269"/>
      <x:c r="K14" s="269"/>
      <x:c r="L14" s="269"/>
      <x:c r="M14" s="269"/>
    </x:row>
    <x:row r="15">
      <x:c r="A15" s="13" t="str">
        <x:v>U.S. Prior Authorization Workflow Mix (CAQH 2024)</x:v>
      </x:c>
      <x:c r="B15" s="13"/>
      <x:c r="C15" s="13"/>
      <x:c r="D15" s="13"/>
      <x:c r="E15" s="269"/>
      <x:c r="F15" s="269"/>
      <x:c r="G15" s="269"/>
      <x:c r="H15" s="269"/>
      <x:c r="I15" s="269"/>
      <x:c r="J15" s="269"/>
      <x:c r="K15" s="269"/>
      <x:c r="L15" s="269"/>
      <x:c r="M15" s="269"/>
    </x:row>
    <x:row r="16">
      <x:c r="A16" s="182" t="str">
        <x:v>Mode</x:v>
      </x:c>
      <x:c r="B16" s="183" t="str">
        <x:v>Volume (M)</x:v>
      </x:c>
      <x:c r="C16" s="183" t="str">
        <x:v>Share of Volume</x:v>
      </x:c>
      <x:c r="D16" s="184" t="str">
        <x:v>Provider Cost / Transaction</x:v>
      </x:c>
      <x:c r="E16" s="269"/>
      <x:c r="F16" s="269"/>
      <x:c r="G16" s="269"/>
      <x:c r="H16" s="269"/>
      <x:c r="I16" s="269"/>
      <x:c r="J16" s="269"/>
      <x:c r="K16" s="269"/>
      <x:c r="L16" s="269"/>
      <x:c r="M16" s="269"/>
    </x:row>
    <x:row r="17">
      <x:c r="A17" s="271" t="str">
        <x:v>Fully electronic</x:v>
      </x:c>
      <x:c r="B17" s="272" t="n">
        <x:f>'Model Inputs'!B6</x:f>
        <x:v>95</x:v>
      </x:c>
      <x:c r="C17" s="279" t="n">
        <x:f>B17/'Model Inputs'!B5</x:f>
        <x:v>0.3492647058823529</x:v>
      </x:c>
      <x:c r="D17" s="280" t="n">
        <x:v>5.38</x:v>
      </x:c>
      <x:c r="E17" s="269"/>
      <x:c r="F17" s="269"/>
      <x:c r="G17" s="269"/>
      <x:c r="H17" s="269"/>
      <x:c r="I17" s="269"/>
      <x:c r="J17" s="269"/>
      <x:c r="K17" s="269"/>
      <x:c r="L17" s="269"/>
      <x:c r="M17" s="269"/>
    </x:row>
    <x:row r="18">
      <x:c r="A18" s="271" t="str">
        <x:v>Partially electronic / portals</x:v>
      </x:c>
      <x:c r="B18" s="272" t="n">
        <x:f>'Model Inputs'!B7</x:f>
        <x:v>123</x:v>
      </x:c>
      <x:c r="C18" s="279" t="n">
        <x:f>B18/'Model Inputs'!B5</x:f>
        <x:v>0.4522058823529412</x:v>
      </x:c>
      <x:c r="D18" s="280" t="n">
        <x:v>8.93</x:v>
      </x:c>
      <x:c r="E18" s="269"/>
      <x:c r="F18" s="269"/>
      <x:c r="G18" s="269"/>
      <x:c r="H18" s="269"/>
      <x:c r="I18" s="269"/>
      <x:c r="J18" s="269"/>
      <x:c r="K18" s="269"/>
      <x:c r="L18" s="269"/>
      <x:c r="M18" s="269"/>
    </x:row>
    <x:row r="19">
      <x:c r="A19" s="275" t="str">
        <x:v>Fully manual</x:v>
      </x:c>
      <x:c r="B19" s="281" t="n">
        <x:f>'Model Inputs'!B8</x:f>
        <x:v>54</x:v>
      </x:c>
      <x:c r="C19" s="282" t="n">
        <x:f>B19/'Model Inputs'!B5</x:f>
        <x:v>0.19852941176470587</x:v>
      </x:c>
      <x:c r="D19" s="283" t="n">
        <x:v>12.88</x:v>
      </x:c>
      <x:c r="E19" s="269"/>
      <x:c r="F19" s="269"/>
      <x:c r="G19" s="269"/>
      <x:c r="H19" s="269"/>
      <x:c r="I19" s="269"/>
      <x:c r="J19" s="269"/>
      <x:c r="K19" s="269"/>
      <x:c r="L19" s="269"/>
      <x:c r="M19" s="269"/>
    </x:row>
    <x:row r="20">
      <x:c r="A20" s="269"/>
      <x:c r="B20" s="269"/>
      <x:c r="C20" s="269"/>
      <x:c r="D20" s="269"/>
      <x:c r="E20" s="269"/>
      <x:c r="F20" s="269"/>
      <x:c r="G20" s="269"/>
      <x:c r="H20" s="269"/>
      <x:c r="I20" s="269"/>
      <x:c r="J20" s="269"/>
      <x:c r="K20" s="269"/>
      <x:c r="L20" s="269"/>
      <x:c r="M20" s="269"/>
    </x:row>
    <x:row r="21">
      <x:c r="A21" s="269"/>
      <x:c r="B21" s="269"/>
      <x:c r="C21" s="269"/>
      <x:c r="D21" s="269"/>
      <x:c r="E21" s="269"/>
      <x:c r="F21" s="269"/>
      <x:c r="G21" s="269"/>
      <x:c r="H21" s="269"/>
      <x:c r="I21" s="269"/>
      <x:c r="J21" s="269"/>
      <x:c r="K21" s="269"/>
      <x:c r="L21" s="269"/>
      <x:c r="M21" s="269"/>
    </x:row>
    <x:row r="22">
      <x:c r="A22" s="13" t="str">
        <x:v>Top 10 U.S. States by Modeled TAM</x:v>
      </x:c>
      <x:c r="B22" s="13"/>
      <x:c r="C22" s="13"/>
      <x:c r="D22" s="13"/>
      <x:c r="E22" s="13"/>
      <x:c r="F22" s="269"/>
      <x:c r="G22" s="269"/>
      <x:c r="H22" s="269"/>
      <x:c r="I22" s="269"/>
      <x:c r="J22" s="269"/>
      <x:c r="K22" s="269"/>
      <x:c r="L22" s="269"/>
      <x:c r="M22" s="269"/>
    </x:row>
    <x:row r="23">
      <x:c r="A23" s="182" t="str">
        <x:v>Rank</x:v>
      </x:c>
      <x:c r="B23" s="183" t="str">
        <x:v>State</x:v>
      </x:c>
      <x:c r="C23" s="183" t="str">
        <x:v>Insured Population (M)</x:v>
      </x:c>
      <x:c r="D23" s="183" t="str">
        <x:v>Modeled PA Volume (M)</x:v>
      </x:c>
      <x:c r="E23" s="184" t="str">
        <x:v>TAM ($M)</x:v>
      </x:c>
      <x:c r="F23" s="269"/>
      <x:c r="G23" s="269"/>
      <x:c r="H23" s="269"/>
      <x:c r="I23" s="269"/>
      <x:c r="J23" s="269"/>
      <x:c r="K23" s="269"/>
      <x:c r="L23" s="269"/>
      <x:c r="M23" s="269"/>
    </x:row>
    <x:row r="24">
      <x:c r="A24" s="271" t="n">
        <x:v>1</x:v>
      </x:c>
      <x:c r="B24" s="269" t="str">
        <x:v>California</x:v>
      </x:c>
      <x:c r="C24" s="284" t="n">
        <x:v>36.32</x:v>
      </x:c>
      <x:c r="D24" s="284" t="n">
        <x:v>32.496842105263156</x:v>
      </x:c>
      <x:c r="E24" s="439" t="n">
        <x:v>129.98736842105262</x:v>
      </x:c>
      <x:c r="F24" s="269"/>
      <x:c r="G24" s="269"/>
      <x:c r="H24" s="269"/>
      <x:c r="I24" s="269"/>
      <x:c r="J24" s="269"/>
      <x:c r="K24" s="269"/>
      <x:c r="L24" s="269"/>
      <x:c r="M24" s="269"/>
    </x:row>
    <x:row r="25">
      <x:c r="A25" s="271" t="n">
        <x:v>2</x:v>
      </x:c>
      <x:c r="B25" s="269" t="str">
        <x:v>Texas</x:v>
      </x:c>
      <x:c r="C25" s="284" t="n">
        <x:v>25.43</x:v>
      </x:c>
      <x:c r="D25" s="284" t="n">
        <x:v>22.75315789473684</x:v>
      </x:c>
      <x:c r="E25" s="439" t="n">
        <x:v>91.01263157894736</x:v>
      </x:c>
      <x:c r="F25" s="269"/>
      <x:c r="G25" s="269"/>
      <x:c r="H25" s="269"/>
      <x:c r="I25" s="269"/>
      <x:c r="J25" s="269"/>
      <x:c r="K25" s="269"/>
      <x:c r="L25" s="269"/>
      <x:c r="M25" s="269"/>
    </x:row>
    <x:row r="26">
      <x:c r="A26" s="271" t="n">
        <x:v>3</x:v>
      </x:c>
      <x:c r="B26" s="269" t="str">
        <x:v>Florida</x:v>
      </x:c>
      <x:c r="C26" s="284" t="n">
        <x:v>20.36</x:v>
      </x:c>
      <x:c r="D26" s="284" t="n">
        <x:v>18.216842105263158</x:v>
      </x:c>
      <x:c r="E26" s="439" t="n">
        <x:v>72.86736842105263</x:v>
      </x:c>
      <x:c r="F26" s="269"/>
      <x:c r="G26" s="269"/>
      <x:c r="H26" s="269"/>
      <x:c r="I26" s="269"/>
      <x:c r="J26" s="269"/>
      <x:c r="K26" s="269"/>
      <x:c r="L26" s="269"/>
      <x:c r="M26" s="269"/>
    </x:row>
    <x:row r="27">
      <x:c r="A27" s="271" t="n">
        <x:v>4</x:v>
      </x:c>
      <x:c r="B27" s="269" t="str">
        <x:v>New York</x:v>
      </x:c>
      <x:c r="C27" s="284" t="n">
        <x:v>18.38</x:v>
      </x:c>
      <x:c r="D27" s="284" t="n">
        <x:v>16.445263157894736</x:v>
      </x:c>
      <x:c r="E27" s="439" t="n">
        <x:v>65.78105263157894</x:v>
      </x:c>
      <x:c r="F27" s="269"/>
      <x:c r="G27" s="269"/>
      <x:c r="H27" s="269"/>
      <x:c r="I27" s="269"/>
      <x:c r="J27" s="269"/>
      <x:c r="K27" s="269"/>
      <x:c r="L27" s="269"/>
      <x:c r="M27" s="269"/>
    </x:row>
    <x:row r="28">
      <x:c r="A28" s="271" t="n">
        <x:v>5</x:v>
      </x:c>
      <x:c r="B28" s="269" t="str">
        <x:v>Pennsylvania</x:v>
      </x:c>
      <x:c r="C28" s="284" t="n">
        <x:v>11.88</x:v>
      </x:c>
      <x:c r="D28" s="284" t="n">
        <x:v>10.629473684210527</x:v>
      </x:c>
      <x:c r="E28" s="439" t="n">
        <x:v>42.51789473684211</x:v>
      </x:c>
      <x:c r="F28" s="269"/>
      <x:c r="G28" s="269"/>
      <x:c r="H28" s="269"/>
      <x:c r="I28" s="269"/>
      <x:c r="J28" s="269"/>
      <x:c r="K28" s="269"/>
      <x:c r="L28" s="269"/>
      <x:c r="M28" s="269"/>
    </x:row>
    <x:row r="29">
      <x:c r="A29" s="271" t="n">
        <x:v>6</x:v>
      </x:c>
      <x:c r="B29" s="269" t="str">
        <x:v>Illinois</x:v>
      </x:c>
      <x:c r="C29" s="284" t="n">
        <x:v>11.56</x:v>
      </x:c>
      <x:c r="D29" s="284" t="n">
        <x:v>10.343157894736843</x:v>
      </x:c>
      <x:c r="E29" s="439" t="n">
        <x:v>41.37263157894737</x:v>
      </x:c>
      <x:c r="F29" s="269"/>
      <x:c r="G29" s="269"/>
      <x:c r="H29" s="269"/>
      <x:c r="I29" s="269"/>
      <x:c r="J29" s="269"/>
      <x:c r="K29" s="269"/>
      <x:c r="L29" s="269"/>
      <x:c r="M29" s="269"/>
    </x:row>
    <x:row r="30">
      <x:c r="A30" s="271" t="n">
        <x:v>7</x:v>
      </x:c>
      <x:c r="B30" s="269" t="str">
        <x:v>Ohio</x:v>
      </x:c>
      <x:c r="C30" s="284" t="n">
        <x:v>10.8</x:v>
      </x:c>
      <x:c r="D30" s="284" t="n">
        <x:v>9.663157894736841</x:v>
      </x:c>
      <x:c r="E30" s="439" t="n">
        <x:v>38.652631578947364</x:v>
      </x:c>
      <x:c r="F30" s="269"/>
      <x:c r="G30" s="269"/>
      <x:c r="H30" s="269"/>
      <x:c r="I30" s="269"/>
      <x:c r="J30" s="269"/>
      <x:c r="K30" s="269"/>
      <x:c r="L30" s="269"/>
      <x:c r="M30" s="269"/>
    </x:row>
    <x:row r="31">
      <x:c r="A31" s="271" t="n">
        <x:v>8</x:v>
      </x:c>
      <x:c r="B31" s="269" t="str">
        <x:v>North Carolina</x:v>
      </x:c>
      <x:c r="C31" s="284" t="n">
        <x:v>9.77</x:v>
      </x:c>
      <x:c r="D31" s="284" t="n">
        <x:v>8.74157894736842</x:v>
      </x:c>
      <x:c r="E31" s="439" t="n">
        <x:v>34.96631578947368</x:v>
      </x:c>
      <x:c r="F31" s="269"/>
      <x:c r="G31" s="269"/>
      <x:c r="H31" s="269"/>
      <x:c r="I31" s="269"/>
      <x:c r="J31" s="269"/>
      <x:c r="K31" s="269"/>
      <x:c r="L31" s="269"/>
      <x:c r="M31" s="269"/>
    </x:row>
    <x:row r="32">
      <x:c r="A32" s="271" t="n">
        <x:v>9</x:v>
      </x:c>
      <x:c r="B32" s="269" t="str">
        <x:v>Georgia</x:v>
      </x:c>
      <x:c r="C32" s="284" t="n">
        <x:v>9.57</x:v>
      </x:c>
      <x:c r="D32" s="284" t="n">
        <x:v>8.56263157894737</x:v>
      </x:c>
      <x:c r="E32" s="439" t="n">
        <x:v>34.25052631578948</x:v>
      </x:c>
      <x:c r="F32" s="269"/>
      <x:c r="G32" s="269"/>
      <x:c r="H32" s="269"/>
      <x:c r="I32" s="269"/>
      <x:c r="J32" s="269"/>
      <x:c r="K32" s="269"/>
      <x:c r="L32" s="269"/>
      <x:c r="M32" s="269"/>
    </x:row>
    <x:row r="33">
      <x:c r="A33" s="275" t="n">
        <x:v>10</x:v>
      </x:c>
      <x:c r="B33" s="277" t="str">
        <x:v>Michigan</x:v>
      </x:c>
      <x:c r="C33" s="285" t="n">
        <x:v>9.43</x:v>
      </x:c>
      <x:c r="D33" s="285" t="n">
        <x:v>8.437368421052632</x:v>
      </x:c>
      <x:c r="E33" s="440" t="n">
        <x:v>33.74947368421053</x:v>
      </x:c>
      <x:c r="F33" s="269"/>
      <x:c r="G33" s="269"/>
      <x:c r="H33" s="269"/>
      <x:c r="I33" s="269"/>
      <x:c r="J33" s="269"/>
      <x:c r="K33" s="269"/>
      <x:c r="L33" s="269"/>
      <x:c r="M33" s="269"/>
    </x:row>
    <x:row r="34">
      <x:c r="A34" s="269"/>
      <x:c r="B34" s="269"/>
      <x:c r="C34" s="269"/>
      <x:c r="D34" s="269"/>
      <x:c r="E34" s="269"/>
      <x:c r="F34" s="269"/>
      <x:c r="G34" s="269"/>
      <x:c r="H34" s="269"/>
      <x:c r="I34" s="269"/>
      <x:c r="J34" s="269"/>
      <x:c r="K34" s="269"/>
      <x:c r="L34" s="269"/>
      <x:c r="M34" s="269"/>
    </x:row>
    <x:row r="35" ht="24" customHeight="1">
      <x:c r="A35" s="286" t="str">
        <x:v>Research note: this workbook uses CAQH 2024 published PA volumes of 95M fully electronic, 123M partially electronic, and 54M manual (272M total). Therefore the modeled core SAM is 177M transactions / ~$708M at $4 per PA. State figures are modeled allocations, not reported PA counts.</x:v>
      </x:c>
      <x:c r="B35" s="286"/>
      <x:c r="C35" s="286"/>
      <x:c r="D35" s="286"/>
      <x:c r="E35" s="286"/>
      <x:c r="F35" s="286"/>
      <x:c r="G35" s="286"/>
      <x:c r="H35" s="286"/>
      <x:c r="I35" s="269"/>
      <x:c r="J35" s="269"/>
      <x:c r="K35" s="269"/>
      <x:c r="L35" s="269"/>
      <x:c r="M35" s="269"/>
    </x:row>
    <x:row r="36" ht="24" customHeight="1">
      <x:c r="A36" s="286"/>
      <x:c r="B36" s="286"/>
      <x:c r="C36" s="286"/>
      <x:c r="D36" s="286"/>
      <x:c r="E36" s="286"/>
      <x:c r="F36" s="286"/>
      <x:c r="G36" s="286"/>
      <x:c r="H36" s="286"/>
      <x:c r="I36" s="269"/>
      <x:c r="J36" s="269"/>
      <x:c r="K36" s="269"/>
      <x:c r="L36" s="269"/>
      <x:c r="M36" s="269"/>
    </x:row>
    <x:row r="37">
      <x:c r="A37" s="269"/>
      <x:c r="B37" s="269"/>
      <x:c r="C37" s="269"/>
      <x:c r="D37" s="269"/>
      <x:c r="E37" s="269"/>
      <x:c r="F37" s="269"/>
      <x:c r="G37" s="269"/>
      <x:c r="H37" s="269"/>
      <x:c r="I37" s="269"/>
      <x:c r="J37" s="269"/>
      <x:c r="K37" s="269"/>
      <x:c r="L37" s="269"/>
      <x:c r="M37" s="269"/>
    </x:row>
    <x:row r="38">
      <x:c r="A38" s="269"/>
      <x:c r="B38" s="269"/>
      <x:c r="C38" s="269"/>
      <x:c r="D38" s="269"/>
      <x:c r="E38" s="269"/>
      <x:c r="F38" s="269"/>
      <x:c r="G38" s="269"/>
      <x:c r="H38" s="269"/>
      <x:c r="I38" s="269"/>
      <x:c r="J38" s="269"/>
      <x:c r="K38" s="269"/>
      <x:c r="L38" s="269"/>
      <x:c r="M38" s="269"/>
    </x:row>
    <x:row r="39">
      <x:c r="A39" s="269"/>
      <x:c r="B39" s="269"/>
      <x:c r="C39" s="269"/>
      <x:c r="D39" s="269"/>
      <x:c r="E39" s="269"/>
      <x:c r="F39" s="269"/>
      <x:c r="G39" s="269"/>
      <x:c r="H39" s="269"/>
      <x:c r="I39" s="269"/>
      <x:c r="J39" s="269"/>
      <x:c r="K39" s="269"/>
      <x:c r="L39" s="269"/>
      <x:c r="M39" s="269"/>
    </x:row>
    <x:row r="40">
      <x:c r="A40" s="269"/>
      <x:c r="B40" s="269"/>
      <x:c r="C40" s="269"/>
      <x:c r="D40" s="269"/>
      <x:c r="E40" s="269"/>
      <x:c r="F40" s="269"/>
      <x:c r="G40" s="269"/>
      <x:c r="H40" s="269"/>
      <x:c r="I40" s="269"/>
      <x:c r="J40" s="269"/>
      <x:c r="K40" s="269"/>
      <x:c r="L40" s="269"/>
      <x:c r="M40" s="269"/>
    </x:row>
  </x:sheetData>
  <x:mergeCells>
    <x:mergeCell ref="A1:H1"/>
    <x:mergeCell ref="A2:H2"/>
    <x:mergeCell ref="A4:D4"/>
    <x:mergeCell ref="A15:D15"/>
    <x:mergeCell ref="A22:E22"/>
    <x:mergeCell ref="A35:H36"/>
  </x:mergeCells>
  <x:pageMargins left="0.7" right="0.7" top="0.75" bottom="0.75" header="0.3" footer="0.3"/>
  <x:drawing xmlns:r="http://schemas.openxmlformats.org/officeDocument/2006/relationships" r:id="R841616d7452f4347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18" hidden="0" customWidth="1"/>
    <x:col min="5" max="5" width="54" hidden="0" customWidth="1"/>
    <x:col min="6" max="6" width="22" hidden="0" customWidth="1"/>
    <x:col min="7" max="7" width="38" hidden="0" customWidth="1"/>
  </x:cols>
  <x:sheetData>
    <x:row r="1" ht="28" customHeight="1">
      <x:c r="A1" s="5" t="str">
        <x:v>ClearAuth-style Prior Authorization Market Model — Inputs</x:v>
      </x:c>
      <x:c r="B1" s="5"/>
      <x:c r="C1" s="5"/>
      <x:c r="D1" s="5"/>
      <x:c r="E1" s="5"/>
      <x:c r="F1" s="269"/>
      <x:c r="G1" s="269"/>
    </x:row>
    <x:row r="2">
      <x:c r="A2" s="269"/>
      <x:c r="B2" s="269"/>
      <x:c r="C2" s="269"/>
      <x:c r="D2" s="269"/>
      <x:c r="E2" s="269"/>
      <x:c r="F2" s="269"/>
      <x:c r="G2" s="269"/>
    </x:row>
    <x:row r="3">
      <x:c r="A3" s="13" t="str">
        <x:v>U.S. Market Inputs</x:v>
      </x:c>
      <x:c r="B3" s="13"/>
      <x:c r="C3" s="13"/>
      <x:c r="D3" s="13"/>
      <x:c r="E3" s="13"/>
      <x:c r="F3" s="269"/>
      <x:c r="G3" s="269"/>
    </x:row>
    <x:row r="4">
      <x:c r="A4" s="29" t="str">
        <x:v>Input</x:v>
      </x:c>
      <x:c r="B4" s="30" t="str">
        <x:v>Value</x:v>
      </x:c>
      <x:c r="C4" s="30" t="str">
        <x:v>Unit</x:v>
      </x:c>
      <x:c r="D4" s="30" t="str">
        <x:v>Type</x:v>
      </x:c>
      <x:c r="E4" s="31" t="str">
        <x:v>Source / Note</x:v>
      </x:c>
      <x:c r="F4" s="269"/>
      <x:c r="G4" s="269"/>
    </x:row>
    <x:row r="5">
      <x:c r="A5" s="305" t="str">
        <x:v>Annual U.S. medical prior authorization volume</x:v>
      </x:c>
      <x:c r="B5" s="306" t="n">
        <x:v>272</x:v>
      </x:c>
      <x:c r="C5" s="305" t="str">
        <x:v>M transactions</x:v>
      </x:c>
      <x:c r="D5" s="305" t="str">
        <x:v>Source</x:v>
      </x:c>
      <x:c r="E5" s="305" t="str">
        <x:v>CAQH 2024 Index: 95M electronic + 123M partial + 54M manual</x:v>
      </x:c>
      <x:c r="F5" s="269"/>
      <x:c r="G5" s="269"/>
    </x:row>
    <x:row r="6">
      <x:c r="A6" s="305" t="str">
        <x:v>Fully electronic PA volume</x:v>
      </x:c>
      <x:c r="B6" s="306" t="n">
        <x:v>95</x:v>
      </x:c>
      <x:c r="C6" s="305" t="str">
        <x:v>M transactions</x:v>
      </x:c>
      <x:c r="D6" s="305" t="str">
        <x:v>Source</x:v>
      </x:c>
      <x:c r="E6" s="305" t="str">
        <x:v>CAQH 2024 Index</x:v>
      </x:c>
      <x:c r="F6" s="269"/>
      <x:c r="G6" s="269"/>
    </x:row>
    <x:row r="7">
      <x:c r="A7" s="305" t="str">
        <x:v>Partially electronic PA volume</x:v>
      </x:c>
      <x:c r="B7" s="306" t="n">
        <x:v>123</x:v>
      </x:c>
      <x:c r="C7" s="305" t="str">
        <x:v>M transactions</x:v>
      </x:c>
      <x:c r="D7" s="305" t="str">
        <x:v>Source</x:v>
      </x:c>
      <x:c r="E7" s="305" t="str">
        <x:v>CAQH 2024 Index</x:v>
      </x:c>
      <x:c r="F7" s="269"/>
      <x:c r="G7" s="269"/>
    </x:row>
    <x:row r="8">
      <x:c r="A8" s="305" t="str">
        <x:v>Fully manual PA volume</x:v>
      </x:c>
      <x:c r="B8" s="306" t="n">
        <x:v>54</x:v>
      </x:c>
      <x:c r="C8" s="305" t="str">
        <x:v>M transactions</x:v>
      </x:c>
      <x:c r="D8" s="305" t="str">
        <x:v>Source</x:v>
      </x:c>
      <x:c r="E8" s="305" t="str">
        <x:v>CAQH 2024 Index</x:v>
      </x:c>
      <x:c r="F8" s="269"/>
      <x:c r="G8" s="269"/>
    </x:row>
    <x:row r="9">
      <x:c r="A9" s="305" t="str">
        <x:v>Core addressable PA volume</x:v>
      </x:c>
      <x:c r="B9" s="307" t="n">
        <x:f>B7+B8</x:f>
        <x:v>177</x:v>
      </x:c>
      <x:c r="C9" s="305" t="str">
        <x:v>M transactions</x:v>
      </x:c>
      <x:c r="D9" s="305" t="str">
        <x:v>Formula</x:v>
      </x:c>
      <x:c r="E9" s="305" t="str">
        <x:v>Partial + manual</x:v>
      </x:c>
      <x:c r="F9" s="269"/>
      <x:c r="G9" s="269"/>
    </x:row>
    <x:row r="10">
      <x:c r="A10" s="305" t="str">
        <x:v>Enterprise-equivalent price per PA</x:v>
      </x:c>
      <x:c r="B10" s="308" t="n">
        <x:v>4</x:v>
      </x:c>
      <x:c r="C10" s="305" t="str">
        <x:v>$ / PA</x:v>
      </x:c>
      <x:c r="D10" s="305" t="str">
        <x:v>Model assumption</x:v>
      </x:c>
      <x:c r="E10" s="305" t="str">
        <x:v>Editable commercial assumption</x:v>
      </x:c>
      <x:c r="F10" s="269"/>
      <x:c r="G10" s="269"/>
    </x:row>
    <x:row r="11">
      <x:c r="A11" s="305" t="str">
        <x:v>U.S. insured population</x:v>
      </x:c>
      <x:c r="B11" s="306" t="n">
        <x:v>304</x:v>
      </x:c>
      <x:c r="C11" s="305" t="str">
        <x:v>M people</x:v>
      </x:c>
      <x:c r="D11" s="305" t="str">
        <x:v>Source/model</x:v>
      </x:c>
      <x:c r="E11" s="305" t="str">
        <x:v>KFF 2024 total population less uninsured; rounded for state allocation</x:v>
      </x:c>
      <x:c r="F11" s="269"/>
      <x:c r="G11" s="269"/>
    </x:row>
    <x:row r="12">
      <x:c r="A12" s="305" t="str">
        <x:v>Core addressable share</x:v>
      </x:c>
      <x:c r="B12" s="309" t="n">
        <x:f>B9/B5</x:f>
        <x:v>0.6507352941176471</x:v>
      </x:c>
      <x:c r="C12" s="305" t="str">
        <x:v>%</x:v>
      </x:c>
      <x:c r="D12" s="305" t="str">
        <x:v>Formula</x:v>
      </x:c>
      <x:c r="E12" s="305" t="str">
        <x:v>Core addressable volume / total PA volume</x:v>
      </x:c>
      <x:c r="F12" s="269"/>
      <x:c r="G12" s="269"/>
    </x:row>
    <x:row r="13">
      <x:c r="A13" s="305"/>
      <x:c r="B13" s="305"/>
      <x:c r="C13" s="305"/>
      <x:c r="D13" s="305"/>
      <x:c r="E13" s="305"/>
      <x:c r="F13" s="269"/>
      <x:c r="G13" s="269"/>
    </x:row>
    <x:row r="14">
      <x:c r="A14" s="75" t="str">
        <x:v>Canada Market Inputs</x:v>
      </x:c>
      <x:c r="B14" s="75"/>
      <x:c r="C14" s="75"/>
      <x:c r="D14" s="75"/>
      <x:c r="E14" s="75"/>
      <x:c r="F14" s="269"/>
      <x:c r="G14" s="269"/>
    </x:row>
    <x:row r="15">
      <x:c r="A15" s="29" t="str">
        <x:v>Input</x:v>
      </x:c>
      <x:c r="B15" s="30" t="str">
        <x:v>Value</x:v>
      </x:c>
      <x:c r="C15" s="30" t="str">
        <x:v>Unit</x:v>
      </x:c>
      <x:c r="D15" s="30" t="str">
        <x:v>Type</x:v>
      </x:c>
      <x:c r="E15" s="31" t="str">
        <x:v>Source / Note</x:v>
      </x:c>
      <x:c r="F15" s="269"/>
      <x:c r="G15" s="269"/>
    </x:row>
    <x:row r="16">
      <x:c r="A16" s="305" t="str">
        <x:v>Canadians covered by workplace health benefits</x:v>
      </x:c>
      <x:c r="B16" s="306" t="n">
        <x:v>27</x:v>
      </x:c>
      <x:c r="C16" s="305" t="str">
        <x:v>M people</x:v>
      </x:c>
      <x:c r="D16" s="305" t="str">
        <x:v>Source</x:v>
      </x:c>
      <x:c r="E16" s="305" t="str">
        <x:v>CLHIA</x:v>
      </x:c>
      <x:c r="F16" s="269"/>
      <x:c r="G16" s="269"/>
    </x:row>
    <x:row r="17">
      <x:c r="A17" s="305" t="str">
        <x:v>Base-case PA frequency</x:v>
      </x:c>
      <x:c r="B17" s="308" t="n">
        <x:v>0.15</x:v>
      </x:c>
      <x:c r="C17" s="305" t="str">
        <x:v>PA / covered life / year</x:v>
      </x:c>
      <x:c r="D17" s="305" t="str">
        <x:v>Model assumption</x:v>
      </x:c>
      <x:c r="E17" s="305" t="str">
        <x:v>Scenario assumption; no CAQH-equivalent Canada dataset</x:v>
      </x:c>
      <x:c r="F17" s="269"/>
      <x:c r="G17" s="269"/>
    </x:row>
    <x:row r="18">
      <x:c r="A18" s="305" t="str">
        <x:v>Price per PA</x:v>
      </x:c>
      <x:c r="B18" s="310" t="n">
        <x:v>4</x:v>
      </x:c>
      <x:c r="C18" s="305" t="str">
        <x:v>$ / PA</x:v>
      </x:c>
      <x:c r="D18" s="305" t="str">
        <x:v>Model assumption</x:v>
      </x:c>
      <x:c r="E18" s="305" t="str">
        <x:v>Aligned to U.S. base price</x:v>
      </x:c>
      <x:c r="F18" s="269"/>
      <x:c r="G18" s="269"/>
    </x:row>
    <x:row r="19">
      <x:c r="A19" s="305" t="str">
        <x:v>Canada serviceable share</x:v>
      </x:c>
      <x:c r="B19" s="311" t="n">
        <x:v>0.6</x:v>
      </x:c>
      <x:c r="C19" s="305" t="str">
        <x:v>%</x:v>
      </x:c>
      <x:c r="D19" s="305" t="str">
        <x:v>Model assumption</x:v>
      </x:c>
      <x:c r="E19" s="305" t="str">
        <x:v>Private/specialty drug focused SAM assumption</x:v>
      </x:c>
      <x:c r="F19" s="269"/>
      <x:c r="G19" s="269"/>
    </x:row>
    <x:row r="20">
      <x:c r="A20" s="305"/>
      <x:c r="B20" s="305"/>
      <x:c r="C20" s="305"/>
      <x:c r="D20" s="305"/>
      <x:c r="E20" s="305"/>
      <x:c r="F20" s="269"/>
      <x:c r="G20" s="269"/>
    </x:row>
    <x:row r="21">
      <x:c r="A21" s="75" t="str">
        <x:v>Commercial / Break-even Inputs</x:v>
      </x:c>
      <x:c r="B21" s="75"/>
      <x:c r="C21" s="75"/>
      <x:c r="D21" s="75"/>
      <x:c r="E21" s="75"/>
      <x:c r="F21" s="269"/>
      <x:c r="G21" s="269"/>
    </x:row>
    <x:row r="22">
      <x:c r="A22" s="29" t="str">
        <x:v>Input</x:v>
      </x:c>
      <x:c r="B22" s="30" t="str">
        <x:v>Value</x:v>
      </x:c>
      <x:c r="C22" s="30" t="str">
        <x:v>Unit</x:v>
      </x:c>
      <x:c r="D22" s="30" t="str">
        <x:v>Type</x:v>
      </x:c>
      <x:c r="E22" s="31" t="str">
        <x:v>Source / Note</x:v>
      </x:c>
      <x:c r="F22" s="269"/>
      <x:c r="G22" s="269"/>
    </x:row>
    <x:row r="23">
      <x:c r="A23" s="305" t="str">
        <x:v>Initial product build investment</x:v>
      </x:c>
      <x:c r="B23" s="312" t="n">
        <x:v>75000</x:v>
      </x:c>
      <x:c r="C23" s="305" t="str">
        <x:v>$</x:v>
      </x:c>
      <x:c r="D23" s="305" t="str">
        <x:v>User input</x:v>
      </x:c>
      <x:c r="E23" s="305" t="str">
        <x:v>One-time product build investment</x:v>
      </x:c>
      <x:c r="F23" s="269"/>
      <x:c r="G23" s="269"/>
    </x:row>
    <x:row r="24">
      <x:c r="A24" s="305" t="str">
        <x:v>Managed services + cloud fee</x:v>
      </x:c>
      <x:c r="B24" s="312" t="n">
        <x:v>3000</x:v>
      </x:c>
      <x:c r="C24" s="305" t="str">
        <x:v>$ / customer / month</x:v>
      </x:c>
      <x:c r="D24" s="305" t="str">
        <x:v>User input</x:v>
      </x:c>
      <x:c r="E24" s="305" t="str">
        <x:v>Primary model treats this as customer recurring charge</x:v>
      </x:c>
      <x:c r="F24" s="269"/>
      <x:c r="G24" s="269"/>
    </x:row>
    <x:row r="25">
      <x:c r="A25" s="305" t="str">
        <x:v>Optional internal fixed platform OPEX</x:v>
      </x:c>
      <x:c r="B25" s="312" t="n">
        <x:v>0</x:v>
      </x:c>
      <x:c r="C25" s="305" t="str">
        <x:v>$ / month</x:v>
      </x:c>
      <x:c r="D25" s="305" t="str">
        <x:v>Model assumption</x:v>
      </x:c>
      <x:c r="E25" s="305" t="str">
        <x:v>Set &gt;0 for internal operating-cost sensitivity</x:v>
      </x:c>
      <x:c r="F25" s="269"/>
      <x:c r="G25" s="269"/>
    </x:row>
    <x:row r="26">
      <x:c r="A26" s="305"/>
      <x:c r="B26" s="305"/>
      <x:c r="C26" s="305"/>
      <x:c r="D26" s="305"/>
      <x:c r="E26" s="305"/>
      <x:c r="F26" s="269"/>
      <x:c r="G26" s="269"/>
    </x:row>
    <x:row r="27">
      <x:c r="A27" s="75" t="str">
        <x:v>Proposed License Pricing — Editable</x:v>
      </x:c>
      <x:c r="B27" s="75"/>
      <x:c r="C27" s="75"/>
      <x:c r="D27" s="75"/>
      <x:c r="E27" s="75"/>
      <x:c r="F27" s="13"/>
      <x:c r="G27" s="13"/>
    </x:row>
    <x:row r="28">
      <x:c r="A28" s="29" t="str">
        <x:v>Tier</x:v>
      </x:c>
      <x:c r="B28" s="30" t="str">
        <x:v>Physicians</x:v>
      </x:c>
      <x:c r="C28" s="30" t="str">
        <x:v>Onboarding Fee ($)</x:v>
      </x:c>
      <x:c r="D28" s="30" t="str">
        <x:v>Annual License ($)</x:v>
      </x:c>
      <x:c r="E28" s="30" t="str">
        <x:v>License MRR ($)</x:v>
      </x:c>
      <x:c r="F28" s="30" t="str">
        <x:v>License $ / Physician / Month</x:v>
      </x:c>
      <x:c r="G28" s="31" t="str">
        <x:v>Pricing Note</x:v>
      </x:c>
    </x:row>
    <x:row r="29">
      <x:c r="A29" s="305" t="str">
        <x:v>Starter</x:v>
      </x:c>
      <x:c r="B29" s="313" t="n">
        <x:v>10</x:v>
      </x:c>
      <x:c r="C29" s="312" t="n">
        <x:v>3500</x:v>
      </x:c>
      <x:c r="D29" s="312" t="n">
        <x:v>15000</x:v>
      </x:c>
      <x:c r="E29" s="314" t="n">
        <x:f>D29/12</x:f>
        <x:v>1250</x:v>
      </x:c>
      <x:c r="F29" s="315" t="n">
        <x:f>D29/B29/12</x:f>
        <x:v>125</x:v>
      </x:c>
      <x:c r="G29" s="269" t="str">
        <x:v>1 practice; base onboarding benchmark</x:v>
      </x:c>
    </x:row>
    <x:row r="30">
      <x:c r="A30" s="305" t="str">
        <x:v>Growth</x:v>
      </x:c>
      <x:c r="B30" s="313" t="n">
        <x:v>25</x:v>
      </x:c>
      <x:c r="C30" s="312" t="n">
        <x:v>5000</x:v>
      </x:c>
      <x:c r="D30" s="312" t="n">
        <x:v>30000</x:v>
      </x:c>
      <x:c r="E30" s="314" t="n">
        <x:f>D30/12</x:f>
        <x:v>2500</x:v>
      </x:c>
      <x:c r="F30" s="315" t="n">
        <x:f>D30/B30/12</x:f>
        <x:v>100</x:v>
      </x:c>
      <x:c r="G30" s="269" t="str">
        <x:v>Discounted per-physician scale</x:v>
      </x:c>
    </x:row>
    <x:row r="31">
      <x:c r="A31" s="305" t="str">
        <x:v>Scale</x:v>
      </x:c>
      <x:c r="B31" s="313" t="n">
        <x:v>50</x:v>
      </x:c>
      <x:c r="C31" s="312" t="n">
        <x:v>7500</x:v>
      </x:c>
      <x:c r="D31" s="312" t="n">
        <x:v>50000</x:v>
      </x:c>
      <x:c r="E31" s="314" t="n">
        <x:f>D31/12</x:f>
        <x:v>4166.666666666667</x:v>
      </x:c>
      <x:c r="F31" s="315" t="n">
        <x:f>D31/B31/12</x:f>
        <x:v>83.33333333333333</x:v>
      </x:c>
      <x:c r="G31" s="269" t="str">
        <x:v>Mid-market practice / multi-specialty</x:v>
      </x:c>
    </x:row>
    <x:row r="32">
      <x:c r="A32" s="305" t="str">
        <x:v>Enterprise</x:v>
      </x:c>
      <x:c r="B32" s="313" t="n">
        <x:v>100</x:v>
      </x:c>
      <x:c r="C32" s="312" t="n">
        <x:v>12500</x:v>
      </x:c>
      <x:c r="D32" s="312" t="n">
        <x:v>85000</x:v>
      </x:c>
      <x:c r="E32" s="314" t="n">
        <x:f>D32/12</x:f>
        <x:v>7083.333333333333</x:v>
      </x:c>
      <x:c r="F32" s="315" t="n">
        <x:f>D32/B32/12</x:f>
        <x:v>70.83333333333333</x:v>
      </x:c>
      <x:c r="G32" s="269" t="str">
        <x:v>Larger group / health-system department</x:v>
      </x:c>
    </x:row>
    <x:row r="33">
      <x:c r="A33" s="305" t="str">
        <x:v>Enterprise+</x:v>
      </x:c>
      <x:c r="B33" s="313" t="n">
        <x:v>250</x:v>
      </x:c>
      <x:c r="C33" s="312" t="n">
        <x:v>20000</x:v>
      </x:c>
      <x:c r="D33" s="312" t="n">
        <x:v>175000</x:v>
      </x:c>
      <x:c r="E33" s="314" t="n">
        <x:f>D33/12</x:f>
        <x:v>14583.333333333334</x:v>
      </x:c>
      <x:c r="F33" s="315" t="n">
        <x:f>D33/B33/12</x:f>
        <x:v>58.333333333333336</x:v>
      </x:c>
      <x:c r="G33" s="269" t="str">
        <x:v>Large multi-site organization</x:v>
      </x:c>
    </x:row>
    <x:row r="34">
      <x:c r="A34" s="269"/>
      <x:c r="B34" s="269"/>
      <x:c r="C34" s="269"/>
      <x:c r="D34" s="269"/>
      <x:c r="E34" s="269"/>
      <x:c r="F34" s="269"/>
      <x:c r="G34" s="269"/>
    </x:row>
    <x:row r="35">
      <x:c r="A35" s="269"/>
      <x:c r="B35" s="269"/>
      <x:c r="C35" s="269"/>
      <x:c r="D35" s="269"/>
      <x:c r="E35" s="269"/>
      <x:c r="F35" s="269"/>
      <x:c r="G35" s="269"/>
    </x:row>
  </x:sheetData>
  <x:mergeCells>
    <x:mergeCell ref="A1:E1"/>
    <x:mergeCell ref="A3:E3"/>
    <x:mergeCell ref="A14:E14"/>
    <x:mergeCell ref="A21:E21"/>
    <x:mergeCell ref="A27:G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7" hidden="0" customWidth="1"/>
    <x:col min="4" max="4" width="18" hidden="0" customWidth="1"/>
    <x:col min="5" max="5" width="14" hidden="0" customWidth="1"/>
    <x:col min="6" max="6" width="14" hidden="0" customWidth="1"/>
    <x:col min="7" max="7" width="13" hidden="0" customWidth="1"/>
    <x:col min="8" max="8" width="13" hidden="0" customWidth="1"/>
    <x:col min="9" max="9" width="10" hidden="0" customWidth="1"/>
    <x:col min="10" max="10" width="38" hidden="0" customWidth="1"/>
  </x:cols>
  <x:sheetData>
    <x:row r="1">
      <x:c r="A1" s="5" t="str">
        <x:v>U.S. State-by-State Prior Authorization Market Opportunity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270" t="str">
        <x:v>Modeled state opportunity = state insured population share × 272M national PA volume. This is a GTM allocation model, not reported state-level prior-authorization volume.</x:v>
      </x:c>
      <x:c r="B2" s="270"/>
      <x:c r="C2" s="270"/>
      <x:c r="D2" s="270"/>
      <x:c r="E2" s="270"/>
      <x:c r="F2" s="270"/>
      <x:c r="G2" s="270"/>
      <x:c r="H2" s="270"/>
      <x:c r="I2" s="270"/>
      <x:c r="J2" s="270"/>
    </x:row>
    <x:row r="3">
      <x:c r="A3" s="269"/>
      <x:c r="B3" s="269"/>
      <x:c r="C3" s="269"/>
      <x:c r="D3" s="269"/>
      <x:c r="E3" s="269"/>
      <x:c r="F3" s="269"/>
      <x:c r="G3" s="269"/>
      <x:c r="H3" s="269"/>
      <x:c r="I3" s="269"/>
      <x:c r="J3" s="269"/>
    </x:row>
    <x:row r="4">
      <x:c r="A4" s="29" t="str">
        <x:v>State</x:v>
      </x:c>
      <x:c r="B4" s="30" t="str">
        <x:v>Insured Population (M)</x:v>
      </x:c>
      <x:c r="C4" s="30" t="str">
        <x:v>Share of U.S. Insured</x:v>
      </x:c>
      <x:c r="D4" s="30" t="str">
        <x:v>Modeled PA Volume (M)</x:v>
      </x:c>
      <x:c r="E4" s="30" t="str">
        <x:v>TAM ($M)</x:v>
      </x:c>
      <x:c r="F4" s="30" t="str">
        <x:v>Core SAM ($M)</x:v>
      </x:c>
      <x:c r="G4" s="30" t="str">
        <x:v>1% SOM ($M)</x:v>
      </x:c>
      <x:c r="H4" s="30" t="str">
        <x:v>2% SOM ($M)</x:v>
      </x:c>
      <x:c r="I4" s="30" t="str">
        <x:v>TAM Rank</x:v>
      </x:c>
      <x:c r="J4" s="31" t="str">
        <x:v>Method / Source</x:v>
      </x:c>
    </x:row>
    <x:row r="5">
      <x:c r="A5" s="327" t="str">
        <x:v>Alabama</x:v>
      </x:c>
      <x:c r="B5" s="328" t="n">
        <x:v>4.58</x:v>
      </x:c>
      <x:c r="C5" s="329" t="n">
        <x:f>B5/'Model Inputs'!$B$11</x:f>
        <x:v>0.015065789473684211</x:v>
      </x:c>
      <x:c r="D5" s="330" t="n">
        <x:f>C5*'Model Inputs'!$B$5</x:f>
        <x:v>4.097894736842106</x:v>
      </x:c>
      <x:c r="E5" s="443" t="n">
        <x:f>D5*'Model Inputs'!$B$10</x:f>
        <x:v>16.391578947368423</x:v>
      </x:c>
      <x:c r="F5" s="443" t="n">
        <x:f>D5*'Model Inputs'!$B$12*'Model Inputs'!$B$10</x:f>
        <x:v>10.666578947368423</x:v>
      </x:c>
      <x:c r="G5" s="444" t="n">
        <x:f>F5*1%</x:f>
        <x:v>0.10666578947368423</x:v>
      </x:c>
      <x:c r="H5" s="444" t="n">
        <x:f>F5*2%</x:f>
        <x:v>0.21333157894736846</x:v>
      </x:c>
      <x:c r="I5" s="333" t="n">
        <x:f>RANK(E5,$E$5:$E$55,0)</x:f>
        <x:v>24</x:v>
      </x:c>
      <x:c r="J5" s="334" t="str">
        <x:v>KFF 2024 insured-population allocation</x:v>
      </x:c>
    </x:row>
    <x:row r="6">
      <x:c r="A6" s="335" t="str">
        <x:v>Alaska</x:v>
      </x:c>
      <x:c r="B6" s="336" t="n">
        <x:v>0.62</x:v>
      </x:c>
      <x:c r="C6" s="337" t="n">
        <x:f>B6/'Model Inputs'!$B$11</x:f>
        <x:v>0.0020394736842105263</x:v>
      </x:c>
      <x:c r="D6" s="338" t="n">
        <x:f>C6*'Model Inputs'!$B$5</x:f>
        <x:v>0.5547368421052632</x:v>
      </x:c>
      <x:c r="E6" s="445" t="n">
        <x:f>D6*'Model Inputs'!$B$10</x:f>
        <x:v>2.218947368421053</x:v>
      </x:c>
      <x:c r="F6" s="445" t="n">
        <x:f>D6*'Model Inputs'!$B$12*'Model Inputs'!$B$10</x:f>
        <x:v>1.4439473684210529</x:v>
      </x:c>
      <x:c r="G6" s="446" t="n">
        <x:f>F6*1%</x:f>
        <x:v>0.01443947368421053</x:v>
      </x:c>
      <x:c r="H6" s="446" t="n">
        <x:f>F6*2%</x:f>
        <x:v>0.02887894736842106</x:v>
      </x:c>
      <x:c r="I6" s="305" t="n">
        <x:f>RANK(E6,$E$5:$E$55,0)</x:f>
        <x:v>49</x:v>
      </x:c>
      <x:c r="J6" s="341" t="str">
        <x:v>KFF 2024 insured-population allocation</x:v>
      </x:c>
    </x:row>
    <x:row r="7">
      <x:c r="A7" s="335" t="str">
        <x:v>Arizona</x:v>
      </x:c>
      <x:c r="B7" s="336" t="n">
        <x:v>6.64</x:v>
      </x:c>
      <x:c r="C7" s="337" t="n">
        <x:f>B7/'Model Inputs'!$B$11</x:f>
        <x:v>0.021842105263157895</x:v>
      </x:c>
      <x:c r="D7" s="338" t="n">
        <x:f>C7*'Model Inputs'!$B$5</x:f>
        <x:v>5.941052631578947</x:v>
      </x:c>
      <x:c r="E7" s="445" t="n">
        <x:f>D7*'Model Inputs'!$B$10</x:f>
        <x:v>23.76421052631579</x:v>
      </x:c>
      <x:c r="F7" s="445" t="n">
        <x:f>D7*'Model Inputs'!$B$12*'Model Inputs'!$B$10</x:f>
        <x:v>15.46421052631579</x:v>
      </x:c>
      <x:c r="G7" s="446" t="n">
        <x:f>F7*1%</x:f>
        <x:v>0.15464210526315791</x:v>
      </x:c>
      <x:c r="H7" s="446" t="n">
        <x:f>F7*2%</x:f>
        <x:v>0.30928421052631583</x:v>
      </x:c>
      <x:c r="I7" s="305" t="n">
        <x:f>RANK(E7,$E$5:$E$55,0)</x:f>
        <x:v>15</x:v>
      </x:c>
      <x:c r="J7" s="341" t="str">
        <x:v>KFF 2024 insured-population allocation</x:v>
      </x:c>
    </x:row>
    <x:row r="8">
      <x:c r="A8" s="335" t="str">
        <x:v>Arkansas</x:v>
      </x:c>
      <x:c r="B8" s="336" t="n">
        <x:v>2.72</x:v>
      </x:c>
      <x:c r="C8" s="337" t="n">
        <x:f>B8/'Model Inputs'!$B$11</x:f>
        <x:v>0.008947368421052633</x:v>
      </x:c>
      <x:c r="D8" s="338" t="n">
        <x:f>C8*'Model Inputs'!$B$5</x:f>
        <x:v>2.433684210526316</x:v>
      </x:c>
      <x:c r="E8" s="445" t="n">
        <x:f>D8*'Model Inputs'!$B$10</x:f>
        <x:v>9.734736842105264</x:v>
      </x:c>
      <x:c r="F8" s="445" t="n">
        <x:f>D8*'Model Inputs'!$B$12*'Model Inputs'!$B$10</x:f>
        <x:v>6.334736842105263</x:v>
      </x:c>
      <x:c r="G8" s="446" t="n">
        <x:f>F8*1%</x:f>
        <x:v>0.06334736842105264</x:v>
      </x:c>
      <x:c r="H8" s="446" t="n">
        <x:f>F8*2%</x:f>
        <x:v>0.12669473684210528</x:v>
      </x:c>
      <x:c r="I8" s="305" t="n">
        <x:f>RANK(E8,$E$5:$E$55,0)</x:f>
        <x:v>33</x:v>
      </x:c>
      <x:c r="J8" s="341" t="str">
        <x:v>KFF 2024 insured-population allocation</x:v>
      </x:c>
    </x:row>
    <x:row r="9">
      <x:c r="A9" s="335" t="str">
        <x:v>California</x:v>
      </x:c>
      <x:c r="B9" s="336" t="n">
        <x:v>36.32</x:v>
      </x:c>
      <x:c r="C9" s="337" t="n">
        <x:f>B9/'Model Inputs'!$B$11</x:f>
        <x:v>0.11947368421052632</x:v>
      </x:c>
      <x:c r="D9" s="338" t="n">
        <x:f>C9*'Model Inputs'!$B$5</x:f>
        <x:v>32.496842105263156</x:v>
      </x:c>
      <x:c r="E9" s="445" t="n">
        <x:f>D9*'Model Inputs'!$B$10</x:f>
        <x:v>129.98736842105262</x:v>
      </x:c>
      <x:c r="F9" s="445" t="n">
        <x:f>D9*'Model Inputs'!$B$12*'Model Inputs'!$B$10</x:f>
        <x:v>84.58736842105263</x:v>
      </x:c>
      <x:c r="G9" s="446" t="n">
        <x:f>F9*1%</x:f>
        <x:v>0.8458736842105263</x:v>
      </x:c>
      <x:c r="H9" s="446" t="n">
        <x:f>F9*2%</x:f>
        <x:v>1.6917473684210527</x:v>
      </x:c>
      <x:c r="I9" s="305" t="n">
        <x:f>RANK(E9,$E$5:$E$55,0)</x:f>
        <x:v>1</x:v>
      </x:c>
      <x:c r="J9" s="341" t="str">
        <x:v>KFF 2024 insured-population allocation</x:v>
      </x:c>
    </x:row>
    <x:row r="10">
      <x:c r="A10" s="335" t="str">
        <x:v>Colorado</x:v>
      </x:c>
      <x:c r="B10" s="336" t="n">
        <x:v>5.35</x:v>
      </x:c>
      <x:c r="C10" s="337" t="n">
        <x:f>B10/'Model Inputs'!$B$11</x:f>
        <x:v>0.017598684210526315</x:v>
      </x:c>
      <x:c r="D10" s="338" t="n">
        <x:f>C10*'Model Inputs'!$B$5</x:f>
        <x:v>4.786842105263157</x:v>
      </x:c>
      <x:c r="E10" s="445" t="n">
        <x:f>D10*'Model Inputs'!$B$10</x:f>
        <x:v>19.14736842105263</x:v>
      </x:c>
      <x:c r="F10" s="445" t="n">
        <x:f>D10*'Model Inputs'!$B$12*'Model Inputs'!$B$10</x:f>
        <x:v>12.459868421052631</x:v>
      </x:c>
      <x:c r="G10" s="446" t="n">
        <x:f>F10*1%</x:f>
        <x:v>0.12459868421052632</x:v>
      </x:c>
      <x:c r="H10" s="446" t="n">
        <x:f>F10*2%</x:f>
        <x:v>0.24919736842105264</x:v>
      </x:c>
      <x:c r="I10" s="305" t="n">
        <x:f>RANK(E10,$E$5:$E$55,0)</x:f>
        <x:v>22</x:v>
      </x:c>
      <x:c r="J10" s="341" t="str">
        <x:v>KFF 2024 insured-population allocation</x:v>
      </x:c>
    </x:row>
    <x:row r="11">
      <x:c r="A11" s="335" t="str">
        <x:v>Connecticut</x:v>
      </x:c>
      <x:c r="B11" s="336" t="n">
        <x:v>3.36</x:v>
      </x:c>
      <x:c r="C11" s="337" t="n">
        <x:f>B11/'Model Inputs'!$B$11</x:f>
        <x:v>0.011052631578947368</x:v>
      </x:c>
      <x:c r="D11" s="338" t="n">
        <x:f>C11*'Model Inputs'!$B$5</x:f>
        <x:v>3.006315789473684</x:v>
      </x:c>
      <x:c r="E11" s="445" t="n">
        <x:f>D11*'Model Inputs'!$B$10</x:f>
        <x:v>12.025263157894736</x:v>
      </x:c>
      <x:c r="F11" s="445" t="n">
        <x:f>D11*'Model Inputs'!$B$12*'Model Inputs'!$B$10</x:f>
        <x:v>7.825263157894737</x:v>
      </x:c>
      <x:c r="G11" s="446" t="n">
        <x:f>F11*1%</x:f>
        <x:v>0.07825263157894737</x:v>
      </x:c>
      <x:c r="H11" s="446" t="n">
        <x:f>F11*2%</x:f>
        <x:v>0.15650526315789473</x:v>
      </x:c>
      <x:c r="I11" s="305" t="n">
        <x:f>RANK(E11,$E$5:$E$55,0)</x:f>
        <x:v>29</x:v>
      </x:c>
      <x:c r="J11" s="341" t="str">
        <x:v>KFF 2024 insured-population allocation</x:v>
      </x:c>
    </x:row>
    <x:row r="12">
      <x:c r="A12" s="335" t="str">
        <x:v>Delaware</x:v>
      </x:c>
      <x:c r="B12" s="336" t="n">
        <x:v>0.95</x:v>
      </x:c>
      <x:c r="C12" s="337" t="n">
        <x:f>B12/'Model Inputs'!$B$11</x:f>
        <x:v>0.0031249999999999997</x:v>
      </x:c>
      <x:c r="D12" s="338" t="n">
        <x:f>C12*'Model Inputs'!$B$5</x:f>
        <x:v>0.85</x:v>
      </x:c>
      <x:c r="E12" s="445" t="n">
        <x:f>D12*'Model Inputs'!$B$10</x:f>
        <x:v>3.4</x:v>
      </x:c>
      <x:c r="F12" s="445" t="n">
        <x:f>D12*'Model Inputs'!$B$12*'Model Inputs'!$B$10</x:f>
        <x:v>2.2125</x:v>
      </x:c>
      <x:c r="G12" s="446" t="n">
        <x:f>F12*1%</x:f>
        <x:v>0.022125</x:v>
      </x:c>
      <x:c r="H12" s="446" t="n">
        <x:f>F12*2%</x:f>
        <x:v>0.04425</x:v>
      </x:c>
      <x:c r="I12" s="305" t="n">
        <x:f>RANK(E12,$E$5:$E$55,0)</x:f>
        <x:v>45</x:v>
      </x:c>
      <x:c r="J12" s="341" t="str">
        <x:v>KFF 2024 insured-population allocation</x:v>
      </x:c>
    </x:row>
    <x:row r="13">
      <x:c r="A13" s="335" t="str">
        <x:v>District of Columbia</x:v>
      </x:c>
      <x:c r="B13" s="336" t="n">
        <x:v>0.64</x:v>
      </x:c>
      <x:c r="C13" s="337" t="n">
        <x:f>B13/'Model Inputs'!$B$11</x:f>
        <x:v>0.002105263157894737</x:v>
      </x:c>
      <x:c r="D13" s="338" t="n">
        <x:f>C13*'Model Inputs'!$B$5</x:f>
        <x:v>0.5726315789473684</x:v>
      </x:c>
      <x:c r="E13" s="445" t="n">
        <x:f>D13*'Model Inputs'!$B$10</x:f>
        <x:v>2.2905263157894735</x:v>
      </x:c>
      <x:c r="F13" s="445" t="n">
        <x:f>D13*'Model Inputs'!$B$12*'Model Inputs'!$B$10</x:f>
        <x:v>1.4905263157894737</x:v>
      </x:c>
      <x:c r="G13" s="446" t="n">
        <x:f>F13*1%</x:f>
        <x:v>0.014905263157894737</x:v>
      </x:c>
      <x:c r="H13" s="446" t="n">
        <x:f>F13*2%</x:f>
        <x:v>0.029810526315789475</x:v>
      </x:c>
      <x:c r="I13" s="305" t="n">
        <x:f>RANK(E13,$E$5:$E$55,0)</x:f>
        <x:v>48</x:v>
      </x:c>
      <x:c r="J13" s="341" t="str">
        <x:v>KFF 2024 insured-population allocation</x:v>
      </x:c>
    </x:row>
    <x:row r="14">
      <x:c r="A14" s="335" t="str">
        <x:v>Florida</x:v>
      </x:c>
      <x:c r="B14" s="336" t="n">
        <x:v>20.36</x:v>
      </x:c>
      <x:c r="C14" s="337" t="n">
        <x:f>B14/'Model Inputs'!$B$11</x:f>
        <x:v>0.06697368421052631</x:v>
      </x:c>
      <x:c r="D14" s="338" t="n">
        <x:f>C14*'Model Inputs'!$B$5</x:f>
        <x:v>18.216842105263158</x:v>
      </x:c>
      <x:c r="E14" s="445" t="n">
        <x:f>D14*'Model Inputs'!$B$10</x:f>
        <x:v>72.86736842105263</x:v>
      </x:c>
      <x:c r="F14" s="445" t="n">
        <x:f>D14*'Model Inputs'!$B$12*'Model Inputs'!$B$10</x:f>
        <x:v>47.417368421052636</x:v>
      </x:c>
      <x:c r="G14" s="446" t="n">
        <x:f>F14*1%</x:f>
        <x:v>0.47417368421052636</x:v>
      </x:c>
      <x:c r="H14" s="446" t="n">
        <x:f>F14*2%</x:f>
        <x:v>0.9483473684210527</x:v>
      </x:c>
      <x:c r="I14" s="305" t="n">
        <x:f>RANK(E14,$E$5:$E$55,0)</x:f>
        <x:v>3</x:v>
      </x:c>
      <x:c r="J14" s="341" t="str">
        <x:v>KFF 2024 insured-population allocation</x:v>
      </x:c>
    </x:row>
    <x:row r="15">
      <x:c r="A15" s="335" t="str">
        <x:v>Georgia</x:v>
      </x:c>
      <x:c r="B15" s="336" t="n">
        <x:v>9.57</x:v>
      </x:c>
      <x:c r="C15" s="337" t="n">
        <x:f>B15/'Model Inputs'!$B$11</x:f>
        <x:v>0.03148026315789474</x:v>
      </x:c>
      <x:c r="D15" s="338" t="n">
        <x:f>C15*'Model Inputs'!$B$5</x:f>
        <x:v>8.56263157894737</x:v>
      </x:c>
      <x:c r="E15" s="445" t="n">
        <x:f>D15*'Model Inputs'!$B$10</x:f>
        <x:v>34.25052631578948</x:v>
      </x:c>
      <x:c r="F15" s="445" t="n">
        <x:f>D15*'Model Inputs'!$B$12*'Model Inputs'!$B$10</x:f>
        <x:v>22.288026315789477</x:v>
      </x:c>
      <x:c r="G15" s="446" t="n">
        <x:f>F15*1%</x:f>
        <x:v>0.22288026315789478</x:v>
      </x:c>
      <x:c r="H15" s="446" t="n">
        <x:f>F15*2%</x:f>
        <x:v>0.44576052631578955</x:v>
      </x:c>
      <x:c r="I15" s="305" t="n">
        <x:f>RANK(E15,$E$5:$E$55,0)</x:f>
        <x:v>9</x:v>
      </x:c>
      <x:c r="J15" s="341" t="str">
        <x:v>KFF 2024 insured-population allocation</x:v>
      </x:c>
    </x:row>
    <x:row r="16">
      <x:c r="A16" s="335" t="str">
        <x:v>Hawaii</x:v>
      </x:c>
      <x:c r="B16" s="336" t="n">
        <x:v>1.33</x:v>
      </x:c>
      <x:c r="C16" s="337" t="n">
        <x:f>B16/'Model Inputs'!$B$11</x:f>
        <x:v>0.004375</x:v>
      </x:c>
      <x:c r="D16" s="338" t="n">
        <x:f>C16*'Model Inputs'!$B$5</x:f>
        <x:v>1.1900000000000002</x:v>
      </x:c>
      <x:c r="E16" s="445" t="n">
        <x:f>D16*'Model Inputs'!$B$10</x:f>
        <x:v>4.760000000000001</x:v>
      </x:c>
      <x:c r="F16" s="445" t="n">
        <x:f>D16*'Model Inputs'!$B$12*'Model Inputs'!$B$10</x:f>
        <x:v>3.0975000000000006</x:v>
      </x:c>
      <x:c r="G16" s="446" t="n">
        <x:f>F16*1%</x:f>
        <x:v>0.030975000000000006</x:v>
      </x:c>
      <x:c r="H16" s="446" t="n">
        <x:f>F16*2%</x:f>
        <x:v>0.06195000000000001</x:v>
      </x:c>
      <x:c r="I16" s="305" t="n">
        <x:f>RANK(E16,$E$5:$E$55,0)</x:f>
        <x:v>40</x:v>
      </x:c>
      <x:c r="J16" s="341" t="str">
        <x:v>KFF 2024 insured-population allocation</x:v>
      </x:c>
    </x:row>
    <x:row r="17">
      <x:c r="A17" s="335" t="str">
        <x:v>Idaho</x:v>
      </x:c>
      <x:c r="B17" s="336" t="n">
        <x:v>1.77</x:v>
      </x:c>
      <x:c r="C17" s="337" t="n">
        <x:f>B17/'Model Inputs'!$B$11</x:f>
        <x:v>0.005822368421052632</x:v>
      </x:c>
      <x:c r="D17" s="338" t="n">
        <x:f>C17*'Model Inputs'!$B$5</x:f>
        <x:v>1.5836842105263158</x:v>
      </x:c>
      <x:c r="E17" s="445" t="n">
        <x:f>D17*'Model Inputs'!$B$10</x:f>
        <x:v>6.334736842105263</x:v>
      </x:c>
      <x:c r="F17" s="445" t="n">
        <x:f>D17*'Model Inputs'!$B$12*'Model Inputs'!$B$10</x:f>
        <x:v>4.122236842105264</x:v>
      </x:c>
      <x:c r="G17" s="446" t="n">
        <x:f>F17*1%</x:f>
        <x:v>0.04122236842105264</x:v>
      </x:c>
      <x:c r="H17" s="446" t="n">
        <x:f>F17*2%</x:f>
        <x:v>0.08244473684210528</x:v>
      </x:c>
      <x:c r="I17" s="305" t="n">
        <x:f>RANK(E17,$E$5:$E$55,0)</x:f>
        <x:v>38</x:v>
      </x:c>
      <x:c r="J17" s="341" t="str">
        <x:v>KFF 2024 insured-population allocation</x:v>
      </x:c>
    </x:row>
    <x:row r="18">
      <x:c r="A18" s="335" t="str">
        <x:v>Illinois</x:v>
      </x:c>
      <x:c r="B18" s="336" t="n">
        <x:v>11.56</x:v>
      </x:c>
      <x:c r="C18" s="337" t="n">
        <x:f>B18/'Model Inputs'!$B$11</x:f>
        <x:v>0.038026315789473686</x:v>
      </x:c>
      <x:c r="D18" s="338" t="n">
        <x:f>C18*'Model Inputs'!$B$5</x:f>
        <x:v>10.343157894736843</x:v>
      </x:c>
      <x:c r="E18" s="445" t="n">
        <x:f>D18*'Model Inputs'!$B$10</x:f>
        <x:v>41.37263157894737</x:v>
      </x:c>
      <x:c r="F18" s="445" t="n">
        <x:f>D18*'Model Inputs'!$B$12*'Model Inputs'!$B$10</x:f>
        <x:v>26.92263157894737</x:v>
      </x:c>
      <x:c r="G18" s="446" t="n">
        <x:f>F18*1%</x:f>
        <x:v>0.2692263157894737</x:v>
      </x:c>
      <x:c r="H18" s="446" t="n">
        <x:f>F18*2%</x:f>
        <x:v>0.5384526315789474</x:v>
      </x:c>
      <x:c r="I18" s="305" t="n">
        <x:f>RANK(E18,$E$5:$E$55,0)</x:f>
        <x:v>6</x:v>
      </x:c>
      <x:c r="J18" s="341" t="str">
        <x:v>KFF 2024 insured-population allocation</x:v>
      </x:c>
    </x:row>
    <x:row r="19">
      <x:c r="A19" s="335" t="str">
        <x:v>Indiana</x:v>
      </x:c>
      <x:c r="B19" s="336" t="n">
        <x:v>6.23</x:v>
      </x:c>
      <x:c r="C19" s="337" t="n">
        <x:f>B19/'Model Inputs'!$B$11</x:f>
        <x:v>0.02049342105263158</x:v>
      </x:c>
      <x:c r="D19" s="338" t="n">
        <x:f>C19*'Model Inputs'!$B$5</x:f>
        <x:v>5.57421052631579</x:v>
      </x:c>
      <x:c r="E19" s="445" t="n">
        <x:f>D19*'Model Inputs'!$B$10</x:f>
        <x:v>22.29684210526316</x:v>
      </x:c>
      <x:c r="F19" s="445" t="n">
        <x:f>D19*'Model Inputs'!$B$12*'Model Inputs'!$B$10</x:f>
        <x:v>14.50934210526316</x:v>
      </x:c>
      <x:c r="G19" s="446" t="n">
        <x:f>F19*1%</x:f>
        <x:v>0.1450934210526316</x:v>
      </x:c>
      <x:c r="H19" s="446" t="n">
        <x:f>F19*2%</x:f>
        <x:v>0.2901868421052632</x:v>
      </x:c>
      <x:c r="I19" s="305" t="n">
        <x:f>RANK(E19,$E$5:$E$55,0)</x:f>
        <x:v>17</x:v>
      </x:c>
      <x:c r="J19" s="341" t="str">
        <x:v>KFF 2024 insured-population allocation</x:v>
      </x:c>
    </x:row>
    <x:row r="20">
      <x:c r="A20" s="335" t="str">
        <x:v>Iowa</x:v>
      </x:c>
      <x:c r="B20" s="336" t="n">
        <x:v>2.96</x:v>
      </x:c>
      <x:c r="C20" s="337" t="n">
        <x:f>B20/'Model Inputs'!$B$11</x:f>
        <x:v>0.009736842105263158</x:v>
      </x:c>
      <x:c r="D20" s="338" t="n">
        <x:f>C20*'Model Inputs'!$B$5</x:f>
        <x:v>2.648421052631579</x:v>
      </x:c>
      <x:c r="E20" s="445" t="n">
        <x:f>D20*'Model Inputs'!$B$10</x:f>
        <x:v>10.593684210526316</x:v>
      </x:c>
      <x:c r="F20" s="445" t="n">
        <x:f>D20*'Model Inputs'!$B$12*'Model Inputs'!$B$10</x:f>
        <x:v>6.893684210526316</x:v>
      </x:c>
      <x:c r="G20" s="446" t="n">
        <x:f>F20*1%</x:f>
        <x:v>0.06893684210526316</x:v>
      </x:c>
      <x:c r="H20" s="446" t="n">
        <x:f>F20*2%</x:f>
        <x:v>0.13787368421052631</x:v>
      </x:c>
      <x:c r="I20" s="305" t="n">
        <x:f>RANK(E20,$E$5:$E$55,0)</x:f>
        <x:v>31</x:v>
      </x:c>
      <x:c r="J20" s="341" t="str">
        <x:v>KFF 2024 insured-population allocation</x:v>
      </x:c>
    </x:row>
    <x:row r="21">
      <x:c r="A21" s="335" t="str">
        <x:v>Kansas</x:v>
      </x:c>
      <x:c r="B21" s="336" t="n">
        <x:v>2.62</x:v>
      </x:c>
      <x:c r="C21" s="337" t="n">
        <x:f>B21/'Model Inputs'!$B$11</x:f>
        <x:v>0.008618421052631579</x:v>
      </x:c>
      <x:c r="D21" s="338" t="n">
        <x:f>C21*'Model Inputs'!$B$5</x:f>
        <x:v>2.3442105263157895</x:v>
      </x:c>
      <x:c r="E21" s="445" t="n">
        <x:f>D21*'Model Inputs'!$B$10</x:f>
        <x:v>9.376842105263158</x:v>
      </x:c>
      <x:c r="F21" s="445" t="n">
        <x:f>D21*'Model Inputs'!$B$12*'Model Inputs'!$B$10</x:f>
        <x:v>6.101842105263159</x:v>
      </x:c>
      <x:c r="G21" s="446" t="n">
        <x:f>F21*1%</x:f>
        <x:v>0.06101842105263159</x:v>
      </x:c>
      <x:c r="H21" s="446" t="n">
        <x:f>F21*2%</x:f>
        <x:v>0.12203684210526318</x:v>
      </x:c>
      <x:c r="I21" s="305" t="n">
        <x:f>RANK(E21,$E$5:$E$55,0)</x:f>
        <x:v>34</x:v>
      </x:c>
      <x:c r="J21" s="341" t="str">
        <x:v>KFF 2024 insured-population allocation</x:v>
      </x:c>
    </x:row>
    <x:row r="22">
      <x:c r="A22" s="335" t="str">
        <x:v>Kentucky</x:v>
      </x:c>
      <x:c r="B22" s="336" t="n">
        <x:v>4.14</x:v>
      </x:c>
      <x:c r="C22" s="337" t="n">
        <x:f>B22/'Model Inputs'!$B$11</x:f>
        <x:v>0.013618421052631578</x:v>
      </x:c>
      <x:c r="D22" s="338" t="n">
        <x:f>C22*'Model Inputs'!$B$5</x:f>
        <x:v>3.7042105263157894</x:v>
      </x:c>
      <x:c r="E22" s="445" t="n">
        <x:f>D22*'Model Inputs'!$B$10</x:f>
        <x:v>14.816842105263158</x:v>
      </x:c>
      <x:c r="F22" s="445" t="n">
        <x:f>D22*'Model Inputs'!$B$12*'Model Inputs'!$B$10</x:f>
        <x:v>9.641842105263159</x:v>
      </x:c>
      <x:c r="G22" s="446" t="n">
        <x:f>F22*1%</x:f>
        <x:v>0.09641842105263158</x:v>
      </x:c>
      <x:c r="H22" s="446" t="n">
        <x:f>F22*2%</x:f>
        <x:v>0.19283684210526317</x:v>
      </x:c>
      <x:c r="I22" s="305" t="n">
        <x:f>RANK(E22,$E$5:$E$55,0)</x:f>
        <x:v>25</x:v>
      </x:c>
      <x:c r="J22" s="341" t="str">
        <x:v>KFF 2024 insured-population allocation</x:v>
      </x:c>
    </x:row>
    <x:row r="23">
      <x:c r="A23" s="335" t="str">
        <x:v>Louisiana</x:v>
      </x:c>
      <x:c r="B23" s="336" t="n">
        <x:v>4.12</x:v>
      </x:c>
      <x:c r="C23" s="337" t="n">
        <x:f>B23/'Model Inputs'!$B$11</x:f>
        <x:v>0.013552631578947368</x:v>
      </x:c>
      <x:c r="D23" s="338" t="n">
        <x:f>C23*'Model Inputs'!$B$5</x:f>
        <x:v>3.686315789473684</x:v>
      </x:c>
      <x:c r="E23" s="445" t="n">
        <x:f>D23*'Model Inputs'!$B$10</x:f>
        <x:v>14.745263157894737</x:v>
      </x:c>
      <x:c r="F23" s="445" t="n">
        <x:f>D23*'Model Inputs'!$B$12*'Model Inputs'!$B$10</x:f>
        <x:v>9.595263157894736</x:v>
      </x:c>
      <x:c r="G23" s="446" t="n">
        <x:f>F23*1%</x:f>
        <x:v>0.09595263157894737</x:v>
      </x:c>
      <x:c r="H23" s="446" t="n">
        <x:f>F23*2%</x:f>
        <x:v>0.19190526315789475</x:v>
      </x:c>
      <x:c r="I23" s="305" t="n">
        <x:f>RANK(E23,$E$5:$E$55,0)</x:f>
        <x:v>26</x:v>
      </x:c>
      <x:c r="J23" s="341" t="str">
        <x:v>KFF 2024 insured-population allocation</x:v>
      </x:c>
    </x:row>
    <x:row r="24">
      <x:c r="A24" s="335" t="str">
        <x:v>Maine</x:v>
      </x:c>
      <x:c r="B24" s="336" t="n">
        <x:v>1.29</x:v>
      </x:c>
      <x:c r="C24" s="337" t="n">
        <x:f>B24/'Model Inputs'!$B$11</x:f>
        <x:v>0.0042434210526315795</x:v>
      </x:c>
      <x:c r="D24" s="338" t="n">
        <x:f>C24*'Model Inputs'!$B$5</x:f>
        <x:v>1.1542105263157896</x:v>
      </x:c>
      <x:c r="E24" s="445" t="n">
        <x:f>D24*'Model Inputs'!$B$10</x:f>
        <x:v>4.616842105263158</x:v>
      </x:c>
      <x:c r="F24" s="445" t="n">
        <x:f>D24*'Model Inputs'!$B$12*'Model Inputs'!$B$10</x:f>
        <x:v>3.004342105263158</x:v>
      </x:c>
      <x:c r="G24" s="446" t="n">
        <x:f>F24*1%</x:f>
        <x:v>0.03004342105263158</x:v>
      </x:c>
      <x:c r="H24" s="446" t="n">
        <x:f>F24*2%</x:f>
        <x:v>0.06008684210526316</x:v>
      </x:c>
      <x:c r="I24" s="305" t="n">
        <x:f>RANK(E24,$E$5:$E$55,0)</x:f>
        <x:v>42</x:v>
      </x:c>
      <x:c r="J24" s="341" t="str">
        <x:v>KFF 2024 insured-population allocation</x:v>
      </x:c>
    </x:row>
    <x:row r="25">
      <x:c r="A25" s="335" t="str">
        <x:v>Maryland</x:v>
      </x:c>
      <x:c r="B25" s="336" t="n">
        <x:v>5.72</x:v>
      </x:c>
      <x:c r="C25" s="337" t="n">
        <x:f>B25/'Model Inputs'!$B$11</x:f>
        <x:v>0.01881578947368421</x:v>
      </x:c>
      <x:c r="D25" s="338" t="n">
        <x:f>C25*'Model Inputs'!$B$5</x:f>
        <x:v>5.117894736842105</x:v>
      </x:c>
      <x:c r="E25" s="445" t="n">
        <x:f>D25*'Model Inputs'!$B$10</x:f>
        <x:v>20.47157894736842</x:v>
      </x:c>
      <x:c r="F25" s="445" t="n">
        <x:f>D25*'Model Inputs'!$B$12*'Model Inputs'!$B$10</x:f>
        <x:v>13.32157894736842</x:v>
      </x:c>
      <x:c r="G25" s="446" t="n">
        <x:f>F25*1%</x:f>
        <x:v>0.1332157894736842</x:v>
      </x:c>
      <x:c r="H25" s="446" t="n">
        <x:f>F25*2%</x:f>
        <x:v>0.2664315789473684</x:v>
      </x:c>
      <x:c r="I25" s="305" t="n">
        <x:f>RANK(E25,$E$5:$E$55,0)</x:f>
        <x:v>18</x:v>
      </x:c>
      <x:c r="J25" s="341" t="str">
        <x:v>KFF 2024 insured-population allocation</x:v>
      </x:c>
    </x:row>
    <x:row r="26">
      <x:c r="A26" s="335" t="str">
        <x:v>Massachusetts</x:v>
      </x:c>
      <x:c r="B26" s="336" t="n">
        <x:v>6.71</x:v>
      </x:c>
      <x:c r="C26" s="337" t="n">
        <x:f>B26/'Model Inputs'!$B$11</x:f>
        <x:v>0.022072368421052632</x:v>
      </x:c>
      <x:c r="D26" s="338" t="n">
        <x:f>C26*'Model Inputs'!$B$5</x:f>
        <x:v>6.003684210526316</x:v>
      </x:c>
      <x:c r="E26" s="445" t="n">
        <x:f>D26*'Model Inputs'!$B$10</x:f>
        <x:v>24.014736842105265</x:v>
      </x:c>
      <x:c r="F26" s="445" t="n">
        <x:f>D26*'Model Inputs'!$B$12*'Model Inputs'!$B$10</x:f>
        <x:v>15.627236842105265</x:v>
      </x:c>
      <x:c r="G26" s="446" t="n">
        <x:f>F26*1%</x:f>
        <x:v>0.15627236842105266</x:v>
      </x:c>
      <x:c r="H26" s="446" t="n">
        <x:f>F26*2%</x:f>
        <x:v>0.3125447368421053</x:v>
      </x:c>
      <x:c r="I26" s="305" t="n">
        <x:f>RANK(E26,$E$5:$E$55,0)</x:f>
        <x:v>14</x:v>
      </x:c>
      <x:c r="J26" s="341" t="str">
        <x:v>KFF 2024 insured-population allocation</x:v>
      </x:c>
    </x:row>
    <x:row r="27">
      <x:c r="A27" s="335" t="str">
        <x:v>Michigan</x:v>
      </x:c>
      <x:c r="B27" s="336" t="n">
        <x:v>9.43</x:v>
      </x:c>
      <x:c r="C27" s="337" t="n">
        <x:f>B27/'Model Inputs'!$B$11</x:f>
        <x:v>0.031019736842105263</x:v>
      </x:c>
      <x:c r="D27" s="338" t="n">
        <x:f>C27*'Model Inputs'!$B$5</x:f>
        <x:v>8.437368421052632</x:v>
      </x:c>
      <x:c r="E27" s="445" t="n">
        <x:f>D27*'Model Inputs'!$B$10</x:f>
        <x:v>33.74947368421053</x:v>
      </x:c>
      <x:c r="F27" s="445" t="n">
        <x:f>D27*'Model Inputs'!$B$12*'Model Inputs'!$B$10</x:f>
        <x:v>21.961973684210527</x:v>
      </x:c>
      <x:c r="G27" s="446" t="n">
        <x:f>F27*1%</x:f>
        <x:v>0.21961973684210528</x:v>
      </x:c>
      <x:c r="H27" s="446" t="n">
        <x:f>F27*2%</x:f>
        <x:v>0.43923947368421057</x:v>
      </x:c>
      <x:c r="I27" s="305" t="n">
        <x:f>RANK(E27,$E$5:$E$55,0)</x:f>
        <x:v>10</x:v>
      </x:c>
      <x:c r="J27" s="341" t="str">
        <x:v>KFF 2024 insured-population allocation</x:v>
      </x:c>
    </x:row>
    <x:row r="28">
      <x:c r="A28" s="335" t="str">
        <x:v>Minnesota</x:v>
      </x:c>
      <x:c r="B28" s="336" t="n">
        <x:v>5.37</x:v>
      </x:c>
      <x:c r="C28" s="337" t="n">
        <x:f>B28/'Model Inputs'!$B$11</x:f>
        <x:v>0.017664473684210525</x:v>
      </x:c>
      <x:c r="D28" s="338" t="n">
        <x:f>C28*'Model Inputs'!$B$5</x:f>
        <x:v>4.804736842105263</x:v>
      </x:c>
      <x:c r="E28" s="445" t="n">
        <x:f>D28*'Model Inputs'!$B$10</x:f>
        <x:v>19.218947368421052</x:v>
      </x:c>
      <x:c r="F28" s="445" t="n">
        <x:f>D28*'Model Inputs'!$B$12*'Model Inputs'!$B$10</x:f>
        <x:v>12.506447368421053</x:v>
      </x:c>
      <x:c r="G28" s="446" t="n">
        <x:f>F28*1%</x:f>
        <x:v>0.12506447368421053</x:v>
      </x:c>
      <x:c r="H28" s="446" t="n">
        <x:f>F28*2%</x:f>
        <x:v>0.25012894736842106</x:v>
      </x:c>
      <x:c r="I28" s="305" t="n">
        <x:f>RANK(E28,$E$5:$E$55,0)</x:f>
        <x:v>21</x:v>
      </x:c>
      <x:c r="J28" s="341" t="str">
        <x:v>KFF 2024 insured-population allocation</x:v>
      </x:c>
    </x:row>
    <x:row r="29">
      <x:c r="A29" s="335" t="str">
        <x:v>Mississippi</x:v>
      </x:c>
      <x:c r="B29" s="336" t="n">
        <x:v>2.57</x:v>
      </x:c>
      <x:c r="C29" s="337" t="n">
        <x:f>B29/'Model Inputs'!$B$11</x:f>
        <x:v>0.008453947368421052</x:v>
      </x:c>
      <x:c r="D29" s="338" t="n">
        <x:f>C29*'Model Inputs'!$B$5</x:f>
        <x:v>2.2994736842105263</x:v>
      </x:c>
      <x:c r="E29" s="445" t="n">
        <x:f>D29*'Model Inputs'!$B$10</x:f>
        <x:v>9.197894736842105</x:v>
      </x:c>
      <x:c r="F29" s="445" t="n">
        <x:f>D29*'Model Inputs'!$B$12*'Model Inputs'!$B$10</x:f>
        <x:v>5.985394736842106</x:v>
      </x:c>
      <x:c r="G29" s="446" t="n">
        <x:f>F29*1%</x:f>
        <x:v>0.05985394736842106</x:v>
      </x:c>
      <x:c r="H29" s="446" t="n">
        <x:f>F29*2%</x:f>
        <x:v>0.11970789473684212</x:v>
      </x:c>
      <x:c r="I29" s="305" t="n">
        <x:f>RANK(E29,$E$5:$E$55,0)</x:f>
        <x:v>35</x:v>
      </x:c>
      <x:c r="J29" s="341" t="str">
        <x:v>KFF 2024 insured-population allocation</x:v>
      </x:c>
    </x:row>
    <x:row r="30">
      <x:c r="A30" s="335" t="str">
        <x:v>Missouri</x:v>
      </x:c>
      <x:c r="B30" s="336" t="n">
        <x:v>5.6</x:v>
      </x:c>
      <x:c r="C30" s="337" t="n">
        <x:f>B30/'Model Inputs'!$B$11</x:f>
        <x:v>0.018421052631578946</x:v>
      </x:c>
      <x:c r="D30" s="338" t="n">
        <x:f>C30*'Model Inputs'!$B$5</x:f>
        <x:v>5.010526315789473</x:v>
      </x:c>
      <x:c r="E30" s="445" t="n">
        <x:f>D30*'Model Inputs'!$B$10</x:f>
        <x:v>20.042105263157893</x:v>
      </x:c>
      <x:c r="F30" s="445" t="n">
        <x:f>D30*'Model Inputs'!$B$12*'Model Inputs'!$B$10</x:f>
        <x:v>13.042105263157895</x:v>
      </x:c>
      <x:c r="G30" s="446" t="n">
        <x:f>F30*1%</x:f>
        <x:v>0.13042105263157894</x:v>
      </x:c>
      <x:c r="H30" s="446" t="n">
        <x:f>F30*2%</x:f>
        <x:v>0.2608421052631579</x:v>
      </x:c>
      <x:c r="I30" s="305" t="n">
        <x:f>RANK(E30,$E$5:$E$55,0)</x:f>
        <x:v>19</x:v>
      </x:c>
      <x:c r="J30" s="341" t="str">
        <x:v>KFF 2024 insured-population allocation</x:v>
      </x:c>
    </x:row>
    <x:row r="31">
      <x:c r="A31" s="335" t="str">
        <x:v>Montana</x:v>
      </x:c>
      <x:c r="B31" s="336" t="n">
        <x:v>1.01</x:v>
      </x:c>
      <x:c r="C31" s="337" t="n">
        <x:f>B31/'Model Inputs'!$B$11</x:f>
        <x:v>0.0033223684210526316</x:v>
      </x:c>
      <x:c r="D31" s="338" t="n">
        <x:f>C31*'Model Inputs'!$B$5</x:f>
        <x:v>0.9036842105263158</x:v>
      </x:c>
      <x:c r="E31" s="445" t="n">
        <x:f>D31*'Model Inputs'!$B$10</x:f>
        <x:v>3.614736842105263</x:v>
      </x:c>
      <x:c r="F31" s="445" t="n">
        <x:f>D31*'Model Inputs'!$B$12*'Model Inputs'!$B$10</x:f>
        <x:v>2.3522368421052633</x:v>
      </x:c>
      <x:c r="G31" s="446" t="n">
        <x:f>F31*1%</x:f>
        <x:v>0.023522368421052632</x:v>
      </x:c>
      <x:c r="H31" s="446" t="n">
        <x:f>F31*2%</x:f>
        <x:v>0.047044736842105264</x:v>
      </x:c>
      <x:c r="I31" s="305" t="n">
        <x:f>RANK(E31,$E$5:$E$55,0)</x:f>
        <x:v>44</x:v>
      </x:c>
      <x:c r="J31" s="341" t="str">
        <x:v>KFF 2024 insured-population allocation</x:v>
      </x:c>
    </x:row>
    <x:row r="32">
      <x:c r="A32" s="335" t="str">
        <x:v>Nebraska</x:v>
      </x:c>
      <x:c r="B32" s="336" t="n">
        <x:v>1.8</x:v>
      </x:c>
      <x:c r="C32" s="337" t="n">
        <x:f>B32/'Model Inputs'!$B$11</x:f>
        <x:v>0.0059210526315789476</x:v>
      </x:c>
      <x:c r="D32" s="338" t="n">
        <x:f>C32*'Model Inputs'!$B$5</x:f>
        <x:v>1.6105263157894738</x:v>
      </x:c>
      <x:c r="E32" s="445" t="n">
        <x:f>D32*'Model Inputs'!$B$10</x:f>
        <x:v>6.442105263157895</x:v>
      </x:c>
      <x:c r="F32" s="445" t="n">
        <x:f>D32*'Model Inputs'!$B$12*'Model Inputs'!$B$10</x:f>
        <x:v>4.192105263157895</x:v>
      </x:c>
      <x:c r="G32" s="446" t="n">
        <x:f>F32*1%</x:f>
        <x:v>0.041921052631578956</x:v>
      </x:c>
      <x:c r="H32" s="446" t="n">
        <x:f>F32*2%</x:f>
        <x:v>0.08384210526315791</x:v>
      </x:c>
      <x:c r="I32" s="305" t="n">
        <x:f>RANK(E32,$E$5:$E$55,0)</x:f>
        <x:v>37</x:v>
      </x:c>
      <x:c r="J32" s="341" t="str">
        <x:v>KFF 2024 insured-population allocation</x:v>
      </x:c>
    </x:row>
    <x:row r="33">
      <x:c r="A33" s="335" t="str">
        <x:v>Nevada</x:v>
      </x:c>
      <x:c r="B33" s="336" t="n">
        <x:v>2.85</x:v>
      </x:c>
      <x:c r="C33" s="337" t="n">
        <x:f>B33/'Model Inputs'!$B$11</x:f>
        <x:v>0.009375</x:v>
      </x:c>
      <x:c r="D33" s="338" t="n">
        <x:f>C33*'Model Inputs'!$B$5</x:f>
        <x:v>2.55</x:v>
      </x:c>
      <x:c r="E33" s="445" t="n">
        <x:f>D33*'Model Inputs'!$B$10</x:f>
        <x:v>10.2</x:v>
      </x:c>
      <x:c r="F33" s="445" t="n">
        <x:f>D33*'Model Inputs'!$B$12*'Model Inputs'!$B$10</x:f>
        <x:v>6.6375</x:v>
      </x:c>
      <x:c r="G33" s="446" t="n">
        <x:f>F33*1%</x:f>
        <x:v>0.066375</x:v>
      </x:c>
      <x:c r="H33" s="446" t="n">
        <x:f>F33*2%</x:f>
        <x:v>0.13275</x:v>
      </x:c>
      <x:c r="I33" s="305" t="n">
        <x:f>RANK(E33,$E$5:$E$55,0)</x:f>
        <x:v>32</x:v>
      </x:c>
      <x:c r="J33" s="341" t="str">
        <x:v>KFF 2024 insured-population allocation</x:v>
      </x:c>
    </x:row>
    <x:row r="34">
      <x:c r="A34" s="335" t="str">
        <x:v>New Hampshire</x:v>
      </x:c>
      <x:c r="B34" s="336" t="n">
        <x:v>1.3</x:v>
      </x:c>
      <x:c r="C34" s="337" t="n">
        <x:f>B34/'Model Inputs'!$B$11</x:f>
        <x:v>0.0042763157894736845</x:v>
      </x:c>
      <x:c r="D34" s="338" t="n">
        <x:f>C34*'Model Inputs'!$B$5</x:f>
        <x:v>1.1631578947368422</x:v>
      </x:c>
      <x:c r="E34" s="445" t="n">
        <x:f>D34*'Model Inputs'!$B$10</x:f>
        <x:v>4.652631578947369</x:v>
      </x:c>
      <x:c r="F34" s="445" t="n">
        <x:f>D34*'Model Inputs'!$B$12*'Model Inputs'!$B$10</x:f>
        <x:v>3.0276315789473687</x:v>
      </x:c>
      <x:c r="G34" s="446" t="n">
        <x:f>F34*1%</x:f>
        <x:v>0.030276315789473686</x:v>
      </x:c>
      <x:c r="H34" s="446" t="n">
        <x:f>F34*2%</x:f>
        <x:v>0.06055263157894737</x:v>
      </x:c>
      <x:c r="I34" s="305" t="n">
        <x:f>RANK(E34,$E$5:$E$55,0)</x:f>
        <x:v>41</x:v>
      </x:c>
      <x:c r="J34" s="341" t="str">
        <x:v>KFF 2024 insured-population allocation</x:v>
      </x:c>
    </x:row>
    <x:row r="35">
      <x:c r="A35" s="335" t="str">
        <x:v>New Jersey</x:v>
      </x:c>
      <x:c r="B35" s="336" t="n">
        <x:v>8.61</x:v>
      </x:c>
      <x:c r="C35" s="337" t="n">
        <x:f>B35/'Model Inputs'!$B$11</x:f>
        <x:v>0.02832236842105263</x:v>
      </x:c>
      <x:c r="D35" s="338" t="n">
        <x:f>C35*'Model Inputs'!$B$5</x:f>
        <x:v>7.7036842105263155</x:v>
      </x:c>
      <x:c r="E35" s="445" t="n">
        <x:f>D35*'Model Inputs'!$B$10</x:f>
        <x:v>30.814736842105262</x:v>
      </x:c>
      <x:c r="F35" s="445" t="n">
        <x:f>D35*'Model Inputs'!$B$12*'Model Inputs'!$B$10</x:f>
        <x:v>20.052236842105263</x:v>
      </x:c>
      <x:c r="G35" s="446" t="n">
        <x:f>F35*1%</x:f>
        <x:v>0.20052236842105264</x:v>
      </x:c>
      <x:c r="H35" s="446" t="n">
        <x:f>F35*2%</x:f>
        <x:v>0.4010447368421053</x:v>
      </x:c>
      <x:c r="I35" s="305" t="n">
        <x:f>RANK(E35,$E$5:$E$55,0)</x:f>
        <x:v>11</x:v>
      </x:c>
      <x:c r="J35" s="341" t="str">
        <x:v>KFF 2024 insured-population allocation</x:v>
      </x:c>
    </x:row>
    <x:row r="36">
      <x:c r="A36" s="335" t="str">
        <x:v>New Mexico</x:v>
      </x:c>
      <x:c r="B36" s="336" t="n">
        <x:v>1.87</x:v>
      </x:c>
      <x:c r="C36" s="337" t="n">
        <x:f>B36/'Model Inputs'!$B$11</x:f>
        <x:v>0.006151315789473684</x:v>
      </x:c>
      <x:c r="D36" s="338" t="n">
        <x:f>C36*'Model Inputs'!$B$5</x:f>
        <x:v>1.6731578947368422</x:v>
      </x:c>
      <x:c r="E36" s="445" t="n">
        <x:f>D36*'Model Inputs'!$B$10</x:f>
        <x:v>6.692631578947369</x:v>
      </x:c>
      <x:c r="F36" s="445" t="n">
        <x:f>D36*'Model Inputs'!$B$12*'Model Inputs'!$B$10</x:f>
        <x:v>4.355131578947368</x:v>
      </x:c>
      <x:c r="G36" s="446" t="n">
        <x:f>F36*1%</x:f>
        <x:v>0.04355131578947368</x:v>
      </x:c>
      <x:c r="H36" s="446" t="n">
        <x:f>F36*2%</x:f>
        <x:v>0.08710263157894736</x:v>
      </x:c>
      <x:c r="I36" s="305" t="n">
        <x:f>RANK(E36,$E$5:$E$55,0)</x:f>
        <x:v>36</x:v>
      </x:c>
      <x:c r="J36" s="341" t="str">
        <x:v>KFF 2024 insured-population allocation</x:v>
      </x:c>
    </x:row>
    <x:row r="37">
      <x:c r="A37" s="335" t="str">
        <x:v>New York</x:v>
      </x:c>
      <x:c r="B37" s="336" t="n">
        <x:v>18.38</x:v>
      </x:c>
      <x:c r="C37" s="337" t="n">
        <x:f>B37/'Model Inputs'!$B$11</x:f>
        <x:v>0.06046052631578947</x:v>
      </x:c>
      <x:c r="D37" s="338" t="n">
        <x:f>C37*'Model Inputs'!$B$5</x:f>
        <x:v>16.445263157894736</x:v>
      </x:c>
      <x:c r="E37" s="445" t="n">
        <x:f>D37*'Model Inputs'!$B$10</x:f>
        <x:v>65.78105263157894</x:v>
      </x:c>
      <x:c r="F37" s="445" t="n">
        <x:f>D37*'Model Inputs'!$B$12*'Model Inputs'!$B$10</x:f>
        <x:v>42.80605263157895</x:v>
      </x:c>
      <x:c r="G37" s="446" t="n">
        <x:f>F37*1%</x:f>
        <x:v>0.4280605263157895</x:v>
      </x:c>
      <x:c r="H37" s="446" t="n">
        <x:f>F37*2%</x:f>
        <x:v>0.856121052631579</x:v>
      </x:c>
      <x:c r="I37" s="305" t="n">
        <x:f>RANK(E37,$E$5:$E$55,0)</x:f>
        <x:v>4</x:v>
      </x:c>
      <x:c r="J37" s="341" t="str">
        <x:v>KFF 2024 insured-population allocation</x:v>
      </x:c>
    </x:row>
    <x:row r="38">
      <x:c r="A38" s="335" t="str">
        <x:v>North Carolina</x:v>
      </x:c>
      <x:c r="B38" s="336" t="n">
        <x:v>9.77</x:v>
      </x:c>
      <x:c r="C38" s="337" t="n">
        <x:f>B38/'Model Inputs'!$B$11</x:f>
        <x:v>0.03213815789473684</x:v>
      </x:c>
      <x:c r="D38" s="338" t="n">
        <x:f>C38*'Model Inputs'!$B$5</x:f>
        <x:v>8.74157894736842</x:v>
      </x:c>
      <x:c r="E38" s="445" t="n">
        <x:f>D38*'Model Inputs'!$B$10</x:f>
        <x:v>34.96631578947368</x:v>
      </x:c>
      <x:c r="F38" s="445" t="n">
        <x:f>D38*'Model Inputs'!$B$12*'Model Inputs'!$B$10</x:f>
        <x:v>22.753815789473684</x:v>
      </x:c>
      <x:c r="G38" s="446" t="n">
        <x:f>F38*1%</x:f>
        <x:v>0.22753815789473686</x:v>
      </x:c>
      <x:c r="H38" s="446" t="n">
        <x:f>F38*2%</x:f>
        <x:v>0.4550763157894737</x:v>
      </x:c>
      <x:c r="I38" s="305" t="n">
        <x:f>RANK(E38,$E$5:$E$55,0)</x:f>
        <x:v>8</x:v>
      </x:c>
      <x:c r="J38" s="341" t="str">
        <x:v>KFF 2024 insured-population allocation</x:v>
      </x:c>
    </x:row>
    <x:row r="39">
      <x:c r="A39" s="335" t="str">
        <x:v>North Dakota</x:v>
      </x:c>
      <x:c r="B39" s="336" t="n">
        <x:v>0.72</x:v>
      </x:c>
      <x:c r="C39" s="337" t="n">
        <x:f>B39/'Model Inputs'!$B$11</x:f>
        <x:v>0.0023684210526315787</x:v>
      </x:c>
      <x:c r="D39" s="338" t="n">
        <x:f>C39*'Model Inputs'!$B$5</x:f>
        <x:v>0.6442105263157893</x:v>
      </x:c>
      <x:c r="E39" s="445" t="n">
        <x:f>D39*'Model Inputs'!$B$10</x:f>
        <x:v>2.5768421052631574</x:v>
      </x:c>
      <x:c r="F39" s="445" t="n">
        <x:f>D39*'Model Inputs'!$B$12*'Model Inputs'!$B$10</x:f>
        <x:v>1.6768421052631577</x:v>
      </x:c>
      <x:c r="G39" s="446" t="n">
        <x:f>F39*1%</x:f>
        <x:v>0.01676842105263158</x:v>
      </x:c>
      <x:c r="H39" s="446" t="n">
        <x:f>F39*2%</x:f>
        <x:v>0.03353684210526316</x:v>
      </x:c>
      <x:c r="I39" s="305" t="n">
        <x:f>RANK(E39,$E$5:$E$55,0)</x:f>
        <x:v>47</x:v>
      </x:c>
      <x:c r="J39" s="341" t="str">
        <x:v>KFF 2024 insured-population allocation</x:v>
      </x:c>
    </x:row>
    <x:row r="40">
      <x:c r="A40" s="335" t="str">
        <x:v>Ohio</x:v>
      </x:c>
      <x:c r="B40" s="336" t="n">
        <x:v>10.8</x:v>
      </x:c>
      <x:c r="C40" s="337" t="n">
        <x:f>B40/'Model Inputs'!$B$11</x:f>
        <x:v>0.035526315789473684</x:v>
      </x:c>
      <x:c r="D40" s="338" t="n">
        <x:f>C40*'Model Inputs'!$B$5</x:f>
        <x:v>9.663157894736841</x:v>
      </x:c>
      <x:c r="E40" s="445" t="n">
        <x:f>D40*'Model Inputs'!$B$10</x:f>
        <x:v>38.652631578947364</x:v>
      </x:c>
      <x:c r="F40" s="445" t="n">
        <x:f>D40*'Model Inputs'!$B$12*'Model Inputs'!$B$10</x:f>
        <x:v>25.152631578947368</x:v>
      </x:c>
      <x:c r="G40" s="446" t="n">
        <x:f>F40*1%</x:f>
        <x:v>0.2515263157894737</x:v>
      </x:c>
      <x:c r="H40" s="446" t="n">
        <x:f>F40*2%</x:f>
        <x:v>0.5030526315789474</x:v>
      </x:c>
      <x:c r="I40" s="305" t="n">
        <x:f>RANK(E40,$E$5:$E$55,0)</x:f>
        <x:v>7</x:v>
      </x:c>
      <x:c r="J40" s="341" t="str">
        <x:v>KFF 2024 insured-population allocation</x:v>
      </x:c>
    </x:row>
    <x:row r="41">
      <x:c r="A41" s="335" t="str">
        <x:v>Oklahoma</x:v>
      </x:c>
      <x:c r="B41" s="336" t="n">
        <x:v>3.5</x:v>
      </x:c>
      <x:c r="C41" s="337" t="n">
        <x:f>B41/'Model Inputs'!$B$11</x:f>
        <x:v>0.011513157894736841</x:v>
      </x:c>
      <x:c r="D41" s="338" t="n">
        <x:f>C41*'Model Inputs'!$B$5</x:f>
        <x:v>3.131578947368421</x:v>
      </x:c>
      <x:c r="E41" s="445" t="n">
        <x:f>D41*'Model Inputs'!$B$10</x:f>
        <x:v>12.526315789473683</x:v>
      </x:c>
      <x:c r="F41" s="445" t="n">
        <x:f>D41*'Model Inputs'!$B$12*'Model Inputs'!$B$10</x:f>
        <x:v>8.151315789473683</x:v>
      </x:c>
      <x:c r="G41" s="446" t="n">
        <x:f>F41*1%</x:f>
        <x:v>0.08151315789473683</x:v>
      </x:c>
      <x:c r="H41" s="446" t="n">
        <x:f>F41*2%</x:f>
        <x:v>0.16302631578947366</x:v>
      </x:c>
      <x:c r="I41" s="305" t="n">
        <x:f>RANK(E41,$E$5:$E$55,0)</x:f>
        <x:v>28</x:v>
      </x:c>
      <x:c r="J41" s="341" t="str">
        <x:v>KFF 2024 insured-population allocation</x:v>
      </x:c>
    </x:row>
    <x:row r="42">
      <x:c r="A42" s="335" t="str">
        <x:v>Oregon</x:v>
      </x:c>
      <x:c r="B42" s="336" t="n">
        <x:v>3.97</x:v>
      </x:c>
      <x:c r="C42" s="337" t="n">
        <x:f>B42/'Model Inputs'!$B$11</x:f>
        <x:v>0.01305921052631579</x:v>
      </x:c>
      <x:c r="D42" s="338" t="n">
        <x:f>C42*'Model Inputs'!$B$5</x:f>
        <x:v>3.5521052631578947</x:v>
      </x:c>
      <x:c r="E42" s="445" t="n">
        <x:f>D42*'Model Inputs'!$B$10</x:f>
        <x:v>14.208421052631579</x:v>
      </x:c>
      <x:c r="F42" s="445" t="n">
        <x:f>D42*'Model Inputs'!$B$12*'Model Inputs'!$B$10</x:f>
        <x:v>9.245921052631578</x:v>
      </x:c>
      <x:c r="G42" s="446" t="n">
        <x:f>F42*1%</x:f>
        <x:v>0.09245921052631578</x:v>
      </x:c>
      <x:c r="H42" s="446" t="n">
        <x:f>F42*2%</x:f>
        <x:v>0.18491842105263157</x:v>
      </x:c>
      <x:c r="I42" s="305" t="n">
        <x:f>RANK(E42,$E$5:$E$55,0)</x:f>
        <x:v>27</x:v>
      </x:c>
      <x:c r="J42" s="341" t="str">
        <x:v>KFF 2024 insured-population allocation</x:v>
      </x:c>
    </x:row>
    <x:row r="43">
      <x:c r="A43" s="335" t="str">
        <x:v>Pennsylvania</x:v>
      </x:c>
      <x:c r="B43" s="336" t="n">
        <x:v>11.88</x:v>
      </x:c>
      <x:c r="C43" s="337" t="n">
        <x:f>B43/'Model Inputs'!$B$11</x:f>
        <x:v>0.03907894736842105</x:v>
      </x:c>
      <x:c r="D43" s="338" t="n">
        <x:f>C43*'Model Inputs'!$B$5</x:f>
        <x:v>10.629473684210527</x:v>
      </x:c>
      <x:c r="E43" s="445" t="n">
        <x:f>D43*'Model Inputs'!$B$10</x:f>
        <x:v>42.51789473684211</x:v>
      </x:c>
      <x:c r="F43" s="445" t="n">
        <x:f>D43*'Model Inputs'!$B$12*'Model Inputs'!$B$10</x:f>
        <x:v>27.667894736842108</x:v>
      </x:c>
      <x:c r="G43" s="446" t="n">
        <x:f>F43*1%</x:f>
        <x:v>0.2766789473684211</x:v>
      </x:c>
      <x:c r="H43" s="446" t="n">
        <x:f>F43*2%</x:f>
        <x:v>0.5533578947368422</x:v>
      </x:c>
      <x:c r="I43" s="305" t="n">
        <x:f>RANK(E43,$E$5:$E$55,0)</x:f>
        <x:v>5</x:v>
      </x:c>
      <x:c r="J43" s="341" t="str">
        <x:v>KFF 2024 insured-population allocation</x:v>
      </x:c>
    </x:row>
    <x:row r="44">
      <x:c r="A44" s="335" t="str">
        <x:v>Rhode Island</x:v>
      </x:c>
      <x:c r="B44" s="336" t="n">
        <x:v>1.02</x:v>
      </x:c>
      <x:c r="C44" s="337" t="n">
        <x:f>B44/'Model Inputs'!$B$11</x:f>
        <x:v>0.003355263157894737</x:v>
      </x:c>
      <x:c r="D44" s="338" t="n">
        <x:f>C44*'Model Inputs'!$B$5</x:f>
        <x:v>0.9126315789473685</x:v>
      </x:c>
      <x:c r="E44" s="445" t="n">
        <x:f>D44*'Model Inputs'!$B$10</x:f>
        <x:v>3.650526315789474</x:v>
      </x:c>
      <x:c r="F44" s="445" t="n">
        <x:f>D44*'Model Inputs'!$B$12*'Model Inputs'!$B$10</x:f>
        <x:v>2.375526315789474</x:v>
      </x:c>
      <x:c r="G44" s="446" t="n">
        <x:f>F44*1%</x:f>
        <x:v>0.02375526315789474</x:v>
      </x:c>
      <x:c r="H44" s="446" t="n">
        <x:f>F44*2%</x:f>
        <x:v>0.04751052631578948</x:v>
      </x:c>
      <x:c r="I44" s="305" t="n">
        <x:f>RANK(E44,$E$5:$E$55,0)</x:f>
        <x:v>43</x:v>
      </x:c>
      <x:c r="J44" s="341" t="str">
        <x:v>KFF 2024 insured-population allocation</x:v>
      </x:c>
    </x:row>
    <x:row r="45">
      <x:c r="A45" s="335" t="str">
        <x:v>South Carolina</x:v>
      </x:c>
      <x:c r="B45" s="336" t="n">
        <x:v>4.83</x:v>
      </x:c>
      <x:c r="C45" s="337" t="n">
        <x:f>B45/'Model Inputs'!$B$11</x:f>
        <x:v>0.015888157894736844</x:v>
      </x:c>
      <x:c r="D45" s="338" t="n">
        <x:f>C45*'Model Inputs'!$B$5</x:f>
        <x:v>4.321578947368422</x:v>
      </x:c>
      <x:c r="E45" s="445" t="n">
        <x:f>D45*'Model Inputs'!$B$10</x:f>
        <x:v>17.286315789473687</x:v>
      </x:c>
      <x:c r="F45" s="445" t="n">
        <x:f>D45*'Model Inputs'!$B$12*'Model Inputs'!$B$10</x:f>
        <x:v>11.248815789473687</x:v>
      </x:c>
      <x:c r="G45" s="446" t="n">
        <x:f>F45*1%</x:f>
        <x:v>0.11248815789473687</x:v>
      </x:c>
      <x:c r="H45" s="446" t="n">
        <x:f>F45*2%</x:f>
        <x:v>0.22497631578947375</x:v>
      </x:c>
      <x:c r="I45" s="305" t="n">
        <x:f>RANK(E45,$E$5:$E$55,0)</x:f>
        <x:v>23</x:v>
      </x:c>
      <x:c r="J45" s="341" t="str">
        <x:v>KFF 2024 insured-population allocation</x:v>
      </x:c>
    </x:row>
    <x:row r="46">
      <x:c r="A46" s="335" t="str">
        <x:v>South Dakota</x:v>
      </x:c>
      <x:c r="B46" s="336" t="n">
        <x:v>0.82</x:v>
      </x:c>
      <x:c r="C46" s="337" t="n">
        <x:f>B46/'Model Inputs'!$B$11</x:f>
        <x:v>0.0026973684210526315</x:v>
      </x:c>
      <x:c r="D46" s="338" t="n">
        <x:f>C46*'Model Inputs'!$B$5</x:f>
        <x:v>0.7336842105263157</x:v>
      </x:c>
      <x:c r="E46" s="445" t="n">
        <x:f>D46*'Model Inputs'!$B$10</x:f>
        <x:v>2.934736842105263</x:v>
      </x:c>
      <x:c r="F46" s="445" t="n">
        <x:f>D46*'Model Inputs'!$B$12*'Model Inputs'!$B$10</x:f>
        <x:v>1.909736842105263</x:v>
      </x:c>
      <x:c r="G46" s="446" t="n">
        <x:f>F46*1%</x:f>
        <x:v>0.01909736842105263</x:v>
      </x:c>
      <x:c r="H46" s="446" t="n">
        <x:f>F46*2%</x:f>
        <x:v>0.03819473684210526</x:v>
      </x:c>
      <x:c r="I46" s="305" t="n">
        <x:f>RANK(E46,$E$5:$E$55,0)</x:f>
        <x:v>46</x:v>
      </x:c>
      <x:c r="J46" s="341" t="str">
        <x:v>KFF 2024 insured-population allocation</x:v>
      </x:c>
    </x:row>
    <x:row r="47">
      <x:c r="A47" s="335" t="str">
        <x:v>Tennessee</x:v>
      </x:c>
      <x:c r="B47" s="336" t="n">
        <x:v>6.37</x:v>
      </x:c>
      <x:c r="C47" s="337" t="n">
        <x:f>B47/'Model Inputs'!$B$11</x:f>
        <x:v>0.020953947368421055</x:v>
      </x:c>
      <x:c r="D47" s="338" t="n">
        <x:f>C47*'Model Inputs'!$B$5</x:f>
        <x:v>5.699473684210527</x:v>
      </x:c>
      <x:c r="E47" s="445" t="n">
        <x:f>D47*'Model Inputs'!$B$10</x:f>
        <x:v>22.797894736842107</x:v>
      </x:c>
      <x:c r="F47" s="445" t="n">
        <x:f>D47*'Model Inputs'!$B$12*'Model Inputs'!$B$10</x:f>
        <x:v>14.835394736842106</x:v>
      </x:c>
      <x:c r="G47" s="446" t="n">
        <x:f>F47*1%</x:f>
        <x:v>0.14835394736842106</x:v>
      </x:c>
      <x:c r="H47" s="446" t="n">
        <x:f>F47*2%</x:f>
        <x:v>0.2967078947368421</x:v>
      </x:c>
      <x:c r="I47" s="305" t="n">
        <x:f>RANK(E47,$E$5:$E$55,0)</x:f>
        <x:v>16</x:v>
      </x:c>
      <x:c r="J47" s="341" t="str">
        <x:v>KFF 2024 insured-population allocation</x:v>
      </x:c>
    </x:row>
    <x:row r="48">
      <x:c r="A48" s="335" t="str">
        <x:v>Texas</x:v>
      </x:c>
      <x:c r="B48" s="336" t="n">
        <x:v>25.43</x:v>
      </x:c>
      <x:c r="C48" s="337" t="n">
        <x:f>B48/'Model Inputs'!$B$11</x:f>
        <x:v>0.08365131578947368</x:v>
      </x:c>
      <x:c r="D48" s="338" t="n">
        <x:f>C48*'Model Inputs'!$B$5</x:f>
        <x:v>22.75315789473684</x:v>
      </x:c>
      <x:c r="E48" s="445" t="n">
        <x:f>D48*'Model Inputs'!$B$10</x:f>
        <x:v>91.01263157894736</x:v>
      </x:c>
      <x:c r="F48" s="445" t="n">
        <x:f>D48*'Model Inputs'!$B$12*'Model Inputs'!$B$10</x:f>
        <x:v>59.22513157894737</x:v>
      </x:c>
      <x:c r="G48" s="446" t="n">
        <x:f>F48*1%</x:f>
        <x:v>0.5922513157894737</x:v>
      </x:c>
      <x:c r="H48" s="446" t="n">
        <x:f>F48*2%</x:f>
        <x:v>1.1845026315789473</x:v>
      </x:c>
      <x:c r="I48" s="305" t="n">
        <x:f>RANK(E48,$E$5:$E$55,0)</x:f>
        <x:v>2</x:v>
      </x:c>
      <x:c r="J48" s="341" t="str">
        <x:v>KFF 2024 insured-population allocation</x:v>
      </x:c>
    </x:row>
    <x:row r="49">
      <x:c r="A49" s="335" t="str">
        <x:v>Utah</x:v>
      </x:c>
      <x:c r="B49" s="336" t="n">
        <x:v>3.15</x:v>
      </x:c>
      <x:c r="C49" s="337" t="n">
        <x:f>B49/'Model Inputs'!$B$11</x:f>
        <x:v>0.010361842105263157</x:v>
      </x:c>
      <x:c r="D49" s="338" t="n">
        <x:f>C49*'Model Inputs'!$B$5</x:f>
        <x:v>2.818421052631579</x:v>
      </x:c>
      <x:c r="E49" s="445" t="n">
        <x:f>D49*'Model Inputs'!$B$10</x:f>
        <x:v>11.273684210526316</x:v>
      </x:c>
      <x:c r="F49" s="445" t="n">
        <x:f>D49*'Model Inputs'!$B$12*'Model Inputs'!$B$10</x:f>
        <x:v>7.336184210526316</x:v>
      </x:c>
      <x:c r="G49" s="446" t="n">
        <x:f>F49*1%</x:f>
        <x:v>0.07336184210526316</x:v>
      </x:c>
      <x:c r="H49" s="446" t="n">
        <x:f>F49*2%</x:f>
        <x:v>0.1467236842105263</x:v>
      </x:c>
      <x:c r="I49" s="305" t="n">
        <x:f>RANK(E49,$E$5:$E$55,0)</x:f>
        <x:v>30</x:v>
      </x:c>
      <x:c r="J49" s="341" t="str">
        <x:v>KFF 2024 insured-population allocation</x:v>
      </x:c>
    </x:row>
    <x:row r="50">
      <x:c r="A50" s="335" t="str">
        <x:v>Vermont</x:v>
      </x:c>
      <x:c r="B50" s="336" t="n">
        <x:v>0.6</x:v>
      </x:c>
      <x:c r="C50" s="337" t="n">
        <x:f>B50/'Model Inputs'!$B$11</x:f>
        <x:v>0.001973684210526316</x:v>
      </x:c>
      <x:c r="D50" s="338" t="n">
        <x:f>C50*'Model Inputs'!$B$5</x:f>
        <x:v>0.5368421052631579</x:v>
      </x:c>
      <x:c r="E50" s="445" t="n">
        <x:f>D50*'Model Inputs'!$B$10</x:f>
        <x:v>2.1473684210526316</x:v>
      </x:c>
      <x:c r="F50" s="445" t="n">
        <x:f>D50*'Model Inputs'!$B$12*'Model Inputs'!$B$10</x:f>
        <x:v>1.3973684210526316</x:v>
      </x:c>
      <x:c r="G50" s="446" t="n">
        <x:f>F50*1%</x:f>
        <x:v>0.013973684210526317</x:v>
      </x:c>
      <x:c r="H50" s="446" t="n">
        <x:f>F50*2%</x:f>
        <x:v>0.027947368421052634</x:v>
      </x:c>
      <x:c r="I50" s="305" t="n">
        <x:f>RANK(E50,$E$5:$E$55,0)</x:f>
        <x:v>50</x:v>
      </x:c>
      <x:c r="J50" s="341" t="str">
        <x:v>KFF 2024 insured-population allocation</x:v>
      </x:c>
    </x:row>
    <x:row r="51">
      <x:c r="A51" s="335" t="str">
        <x:v>Virginia</x:v>
      </x:c>
      <x:c r="B51" s="336" t="n">
        <x:v>7.89</x:v>
      </x:c>
      <x:c r="C51" s="337" t="n">
        <x:f>B51/'Model Inputs'!$B$11</x:f>
        <x:v>0.025953947368421052</x:v>
      </x:c>
      <x:c r="D51" s="338" t="n">
        <x:f>C51*'Model Inputs'!$B$5</x:f>
        <x:v>7.059473684210526</x:v>
      </x:c>
      <x:c r="E51" s="445" t="n">
        <x:f>D51*'Model Inputs'!$B$10</x:f>
        <x:v>28.237894736842104</x:v>
      </x:c>
      <x:c r="F51" s="445" t="n">
        <x:f>D51*'Model Inputs'!$B$12*'Model Inputs'!$B$10</x:f>
        <x:v>18.375394736842104</x:v>
      </x:c>
      <x:c r="G51" s="446" t="n">
        <x:f>F51*1%</x:f>
        <x:v>0.18375394736842104</x:v>
      </x:c>
      <x:c r="H51" s="446" t="n">
        <x:f>F51*2%</x:f>
        <x:v>0.3675078947368421</x:v>
      </x:c>
      <x:c r="I51" s="305" t="n">
        <x:f>RANK(E51,$E$5:$E$55,0)</x:f>
        <x:v>12</x:v>
      </x:c>
      <x:c r="J51" s="341" t="str">
        <x:v>KFF 2024 insured-population allocation</x:v>
      </x:c>
    </x:row>
    <x:row r="52">
      <x:c r="A52" s="335" t="str">
        <x:v>Washington</x:v>
      </x:c>
      <x:c r="B52" s="336" t="n">
        <x:v>7.27</x:v>
      </x:c>
      <x:c r="C52" s="337" t="n">
        <x:f>B52/'Model Inputs'!$B$11</x:f>
        <x:v>0.023914473684210524</x:v>
      </x:c>
      <x:c r="D52" s="338" t="n">
        <x:f>C52*'Model Inputs'!$B$5</x:f>
        <x:v>6.504736842105262</x:v>
      </x:c>
      <x:c r="E52" s="445" t="n">
        <x:f>D52*'Model Inputs'!$B$10</x:f>
        <x:v>26.01894736842105</x:v>
      </x:c>
      <x:c r="F52" s="445" t="n">
        <x:f>D52*'Model Inputs'!$B$12*'Model Inputs'!$B$10</x:f>
        <x:v>16.93144736842105</x:v>
      </x:c>
      <x:c r="G52" s="446" t="n">
        <x:f>F52*1%</x:f>
        <x:v>0.16931447368421051</x:v>
      </x:c>
      <x:c r="H52" s="446" t="n">
        <x:f>F52*2%</x:f>
        <x:v>0.33862894736842103</x:v>
      </x:c>
      <x:c r="I52" s="305" t="n">
        <x:f>RANK(E52,$E$5:$E$55,0)</x:f>
        <x:v>13</x:v>
      </x:c>
      <x:c r="J52" s="341" t="str">
        <x:v>KFF 2024 insured-population allocation</x:v>
      </x:c>
    </x:row>
    <x:row r="53">
      <x:c r="A53" s="335" t="str">
        <x:v>West Virginia</x:v>
      </x:c>
      <x:c r="B53" s="336" t="n">
        <x:v>1.61</x:v>
      </x:c>
      <x:c r="C53" s="337" t="n">
        <x:f>B53/'Model Inputs'!$B$11</x:f>
        <x:v>0.005296052631578948</x:v>
      </x:c>
      <x:c r="D53" s="338" t="n">
        <x:f>C53*'Model Inputs'!$B$5</x:f>
        <x:v>1.4405263157894739</x:v>
      </x:c>
      <x:c r="E53" s="445" t="n">
        <x:f>D53*'Model Inputs'!$B$10</x:f>
        <x:v>5.7621052631578955</x:v>
      </x:c>
      <x:c r="F53" s="445" t="n">
        <x:f>D53*'Model Inputs'!$B$12*'Model Inputs'!$B$10</x:f>
        <x:v>3.7496052631578953</x:v>
      </x:c>
      <x:c r="G53" s="446" t="n">
        <x:f>F53*1%</x:f>
        <x:v>0.03749605263157895</x:v>
      </x:c>
      <x:c r="H53" s="446" t="n">
        <x:f>F53*2%</x:f>
        <x:v>0.0749921052631579</x:v>
      </x:c>
      <x:c r="I53" s="305" t="n">
        <x:f>RANK(E53,$E$5:$E$55,0)</x:f>
        <x:v>39</x:v>
      </x:c>
      <x:c r="J53" s="341" t="str">
        <x:v>KFF 2024 insured-population allocation</x:v>
      </x:c>
    </x:row>
    <x:row r="54">
      <x:c r="A54" s="335" t="str">
        <x:v>Wisconsin</x:v>
      </x:c>
      <x:c r="B54" s="336" t="n">
        <x:v>5.5</x:v>
      </x:c>
      <x:c r="C54" s="337" t="n">
        <x:f>B54/'Model Inputs'!$B$11</x:f>
        <x:v>0.018092105263157895</x:v>
      </x:c>
      <x:c r="D54" s="338" t="n">
        <x:f>C54*'Model Inputs'!$B$5</x:f>
        <x:v>4.921052631578948</x:v>
      </x:c>
      <x:c r="E54" s="445" t="n">
        <x:f>D54*'Model Inputs'!$B$10</x:f>
        <x:v>19.68421052631579</x:v>
      </x:c>
      <x:c r="F54" s="445" t="n">
        <x:f>D54*'Model Inputs'!$B$12*'Model Inputs'!$B$10</x:f>
        <x:v>12.809210526315791</x:v>
      </x:c>
      <x:c r="G54" s="446" t="n">
        <x:f>F54*1%</x:f>
        <x:v>0.12809210526315792</x:v>
      </x:c>
      <x:c r="H54" s="446" t="n">
        <x:f>F54*2%</x:f>
        <x:v>0.25618421052631585</x:v>
      </x:c>
      <x:c r="I54" s="305" t="n">
        <x:f>RANK(E54,$E$5:$E$55,0)</x:f>
        <x:v>20</x:v>
      </x:c>
      <x:c r="J54" s="341" t="str">
        <x:v>KFF 2024 insured-population allocation</x:v>
      </x:c>
    </x:row>
    <x:row r="55">
      <x:c r="A55" s="342" t="str">
        <x:v>Wyoming</x:v>
      </x:c>
      <x:c r="B55" s="343" t="n">
        <x:v>0.52</x:v>
      </x:c>
      <x:c r="C55" s="344" t="n">
        <x:f>B55/'Model Inputs'!$B$11</x:f>
        <x:v>0.0017105263157894738</x:v>
      </x:c>
      <x:c r="D55" s="345" t="n">
        <x:f>C55*'Model Inputs'!$B$5</x:f>
        <x:v>0.4652631578947369</x:v>
      </x:c>
      <x:c r="E55" s="447" t="n">
        <x:f>D55*'Model Inputs'!$B$10</x:f>
        <x:v>1.8610526315789475</x:v>
      </x:c>
      <x:c r="F55" s="447" t="n">
        <x:f>D55*'Model Inputs'!$B$12*'Model Inputs'!$B$10</x:f>
        <x:v>1.2110526315789476</x:v>
      </x:c>
      <x:c r="G55" s="448" t="n">
        <x:f>F55*1%</x:f>
        <x:v>0.012110526315789476</x:v>
      </x:c>
      <x:c r="H55" s="448" t="n">
        <x:f>F55*2%</x:f>
        <x:v>0.024221052631578952</x:v>
      </x:c>
      <x:c r="I55" s="348" t="n">
        <x:f>RANK(E55,$E$5:$E$55,0)</x:f>
        <x:v>51</x:v>
      </x:c>
      <x:c r="J55" s="349" t="str">
        <x:v>KFF 2024 insured-population allocation</x:v>
      </x:c>
    </x:row>
    <x:row r="56">
      <x:c r="A56" s="350" t="str">
        <x:v>TOTAL / U.S.</x:v>
      </x:c>
      <x:c r="B56" s="351" t="n">
        <x:f>SUM(B5:B55)</x:f>
        <x:v>304</x:v>
      </x:c>
      <x:c r="C56" s="352" t="n">
        <x:f>SUM(C5:C55)</x:f>
        <x:v>1</x:v>
      </x:c>
      <x:c r="D56" s="351" t="n">
        <x:f>SUM(D5:D55)</x:f>
        <x:v>272.00000000000006</x:v>
      </x:c>
      <x:c r="E56" s="449" t="n">
        <x:f>SUM(E5:E55)</x:f>
        <x:v>1088.0000000000002</x:v>
      </x:c>
      <x:c r="F56" s="449" t="n">
        <x:f>SUM(F5:F55)</x:f>
        <x:v>708.0000000000001</x:v>
      </x:c>
      <x:c r="G56" s="449" t="n">
        <x:f>SUM(G5:G55)</x:f>
        <x:v>7.080000000000002</x:v>
      </x:c>
      <x:c r="H56" s="449" t="n">
        <x:f>SUM(H5:H55)</x:f>
        <x:v>14.160000000000004</x:v>
      </x:c>
      <x:c r="I56" s="350" t="str"/>
      <x:c r="J56" s="350" t="str">
        <x:v>Modeled total should reconcile to national assumptions</x:v>
      </x:c>
    </x:row>
  </x:sheetData>
  <x:mergeCells>
    <x:mergeCell ref="A1:J1"/>
    <x:mergeCell ref="A2:J2"/>
  </x:mergeCells>
  <x:conditionalFormatting sqref="E5:E5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{424DE2A9-F1FE-7F6A-713C-AEEB03958B9A}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24DE2A9-F1FE-7F6A-713C-AEEB03958B9A}">
            <x14:dataBar gradient="1">
              <x14:cfvo type="min"/>
              <x14:cfvo type="max"/>
              <x14:fillColor rgb="FFA02B93"/>
            </x14:dataBar>
          </x14:cfRule>
          <xm:sqref>E5:E55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0" hidden="0" customWidth="1"/>
    <x:col min="5" max="5" width="15" hidden="0" customWidth="1"/>
    <x:col min="6" max="6" width="18" hidden="0" customWidth="1"/>
    <x:col min="7" max="7" width="15" hidden="0" customWidth="1"/>
    <x:col min="8" max="8" width="15" hidden="0" customWidth="1"/>
  </x:cols>
  <x:sheetData>
    <x:row r="1">
      <x:c r="A1" s="5" t="str">
        <x:v>Canada Prior Authorization Opportunity — Scenario Model</x:v>
      </x:c>
      <x:c r="B1" s="5"/>
      <x:c r="C1" s="267"/>
      <x:c r="D1" s="5"/>
      <x:c r="E1" s="5"/>
      <x:c r="F1" s="5"/>
      <x:c r="G1" s="5"/>
      <x:c r="H1" s="5"/>
    </x:row>
    <x:row r="2">
      <x:c r="A2" s="270" t="str">
        <x:v>Canada does not publish a CAQH-equivalent nationwide PA transaction dataset. The model therefore uses private/workplace-benefit covered lives and scenario-based PA frequency.</x:v>
      </x:c>
      <x:c r="B2" s="270"/>
      <x:c r="C2" s="270"/>
      <x:c r="D2" s="270"/>
      <x:c r="E2" s="270"/>
      <x:c r="F2" s="270"/>
      <x:c r="G2" s="270"/>
      <x:c r="H2" s="270"/>
    </x:row>
    <x:row r="3">
      <x:c r="A3" s="269"/>
      <x:c r="B3" s="269"/>
      <x:c r="C3" s="269"/>
      <x:c r="D3" s="269"/>
      <x:c r="E3" s="269"/>
      <x:c r="F3" s="269"/>
      <x:c r="G3" s="269"/>
      <x:c r="H3" s="269"/>
    </x:row>
    <x:row r="4">
      <x:c r="A4" s="182" t="str">
        <x:v>Scenario</x:v>
      </x:c>
      <x:c r="B4" s="183" t="str">
        <x:v>Covered Lives (M)</x:v>
      </x:c>
      <x:c r="C4" s="183" t="str">
        <x:v>PA Frequency / Year</x:v>
      </x:c>
      <x:c r="D4" s="183" t="str">
        <x:v>Modeled PA Volume (M)</x:v>
      </x:c>
      <x:c r="E4" s="183" t="str">
        <x:v>TAM ($M)</x:v>
      </x:c>
      <x:c r="F4" s="183" t="str">
        <x:v>Serviceable Share</x:v>
      </x:c>
      <x:c r="G4" s="183" t="str">
        <x:v>SAM ($M)</x:v>
      </x:c>
      <x:c r="H4" s="184" t="str">
        <x:v>5% SOM ($M)</x:v>
      </x:c>
    </x:row>
    <x:row r="5">
      <x:c r="A5" s="271" t="str">
        <x:v>Conservative</x:v>
      </x:c>
      <x:c r="B5" s="272" t="n">
        <x:f>'Model Inputs'!$B$16</x:f>
        <x:v>27</x:v>
      </x:c>
      <x:c r="C5" s="381" t="n">
        <x:v>0.1</x:v>
      </x:c>
      <x:c r="D5" s="284" t="n">
        <x:f>B5*C5</x:f>
        <x:v>2.7</x:v>
      </x:c>
      <x:c r="E5" s="272" t="n">
        <x:f>D5*'Model Inputs'!$B$18</x:f>
        <x:v>10.8</x:v>
      </x:c>
      <x:c r="F5" s="279" t="n">
        <x:f>'Model Inputs'!$B$19</x:f>
        <x:v>0.6</x:v>
      </x:c>
      <x:c r="G5" s="435" t="n">
        <x:f>E5*F5</x:f>
        <x:v>6.48</x:v>
      </x:c>
      <x:c r="H5" s="457" t="n">
        <x:f>G5*5%</x:f>
        <x:v>0.32400000000000007</x:v>
      </x:c>
    </x:row>
    <x:row r="6">
      <x:c r="A6" s="271" t="str">
        <x:v>Base</x:v>
      </x:c>
      <x:c r="B6" s="272" t="n">
        <x:f>'Model Inputs'!$B$16</x:f>
        <x:v>27</x:v>
      </x:c>
      <x:c r="C6" s="381" t="n">
        <x:v>0.15</x:v>
      </x:c>
      <x:c r="D6" s="284" t="n">
        <x:f>B6*C6</x:f>
        <x:v>4.05</x:v>
      </x:c>
      <x:c r="E6" s="272" t="n">
        <x:f>D6*'Model Inputs'!$B$18</x:f>
        <x:v>16.2</x:v>
      </x:c>
      <x:c r="F6" s="279" t="n">
        <x:f>'Model Inputs'!$B$19</x:f>
        <x:v>0.6</x:v>
      </x:c>
      <x:c r="G6" s="435" t="n">
        <x:f>E6*F6</x:f>
        <x:v>9.719999999999999</x:v>
      </x:c>
      <x:c r="H6" s="457" t="n">
        <x:f>G6*5%</x:f>
        <x:v>0.486</x:v>
      </x:c>
    </x:row>
    <x:row r="7">
      <x:c r="A7" s="275" t="str">
        <x:v>High</x:v>
      </x:c>
      <x:c r="B7" s="281" t="n">
        <x:f>'Model Inputs'!$B$16</x:f>
        <x:v>27</x:v>
      </x:c>
      <x:c r="C7" s="383" t="n">
        <x:v>0.25</x:v>
      </x:c>
      <x:c r="D7" s="285" t="n">
        <x:f>B7*C7</x:f>
        <x:v>6.75</x:v>
      </x:c>
      <x:c r="E7" s="281" t="n">
        <x:f>D7*'Model Inputs'!$B$18</x:f>
        <x:v>27</x:v>
      </x:c>
      <x:c r="F7" s="282" t="n">
        <x:f>'Model Inputs'!$B$19</x:f>
        <x:v>0.6</x:v>
      </x:c>
      <x:c r="G7" s="436" t="n">
        <x:f>E7*F7</x:f>
        <x:v>16.2</x:v>
      </x:c>
      <x:c r="H7" s="458" t="n">
        <x:f>G7*5%</x:f>
        <x:v>0.81</x:v>
      </x:c>
    </x:row>
    <x:row r="8">
      <x:c r="A8" s="269"/>
      <x:c r="B8" s="269"/>
      <x:c r="C8" s="269"/>
      <x:c r="D8" s="269"/>
      <x:c r="E8" s="269"/>
      <x:c r="F8" s="269"/>
      <x:c r="G8" s="269"/>
      <x:c r="H8" s="269"/>
    </x:row>
    <x:row r="9">
      <x:c r="A9" s="269"/>
      <x:c r="B9" s="269"/>
      <x:c r="C9" s="269"/>
      <x:c r="D9" s="269"/>
      <x:c r="E9" s="269"/>
      <x:c r="F9" s="269"/>
      <x:c r="G9" s="269"/>
      <x:c r="H9" s="269"/>
    </x:row>
    <x:row r="10">
      <x:c r="A10" s="13" t="str">
        <x:v>Canadian Market Context</x:v>
      </x:c>
      <x:c r="B10" s="13"/>
      <x:c r="C10" s="13"/>
      <x:c r="D10" s="13"/>
      <x:c r="E10" s="269"/>
      <x:c r="F10" s="269"/>
      <x:c r="G10" s="269"/>
      <x:c r="H10" s="269"/>
    </x:row>
    <x:row r="11">
      <x:c r="A11" s="182" t="str">
        <x:v>Metric</x:v>
      </x:c>
      <x:c r="B11" s="183" t="str">
        <x:v>Value</x:v>
      </x:c>
      <x:c r="C11" s="183" t="str">
        <x:v>Why it matters</x:v>
      </x:c>
      <x:c r="D11" s="184" t="str">
        <x:v>Source</x:v>
      </x:c>
      <x:c r="E11" s="269"/>
      <x:c r="F11" s="269"/>
      <x:c r="G11" s="269"/>
      <x:c r="H11" s="269"/>
    </x:row>
    <x:row r="12">
      <x:c r="A12" s="335" t="str">
        <x:v>Canadians with workplace health benefits</x:v>
      </x:c>
      <x:c r="B12" s="305" t="str">
        <x:v>27M</x:v>
      </x:c>
      <x:c r="C12" s="305" t="str">
        <x:v>Large private-benefits base for drug/specialty authorization</x:v>
      </x:c>
      <x:c r="D12" s="341" t="str">
        <x:v>CLHIA</x:v>
      </x:c>
      <x:c r="E12" s="269"/>
      <x:c r="F12" s="269"/>
      <x:c r="G12" s="269"/>
      <x:c r="H12" s="269"/>
    </x:row>
    <x:row r="13">
      <x:c r="A13" s="335" t="str">
        <x:v>2024 prescription-drug claims</x:v>
      </x:c>
      <x:c r="B13" s="305" t="str">
        <x:v>$16.6B</x:v>
      </x:c>
      <x:c r="C13" s="305" t="str">
        <x:v>Large private drug-spend pool</x:v>
      </x:c>
      <x:c r="D13" s="341" t="str">
        <x:v>CLHIA</x:v>
      </x:c>
      <x:c r="E13" s="269"/>
      <x:c r="F13" s="269"/>
      <x:c r="G13" s="269"/>
      <x:c r="H13" s="269"/>
    </x:row>
    <x:row r="14">
      <x:c r="A14" s="335" t="str">
        <x:v>2025 specialty-drug claimants</x:v>
      </x:c>
      <x:c r="B14" s="305" t="str">
        <x:v>2.1%</x:v>
      </x:c>
      <x:c r="C14" s="305" t="str">
        <x:v>Small claimant group drives high-complexity workflows</x:v>
      </x:c>
      <x:c r="D14" s="341" t="str">
        <x:v>TELUS Health</x:v>
      </x:c>
      <x:c r="E14" s="269"/>
      <x:c r="F14" s="269"/>
      <x:c r="G14" s="269"/>
      <x:c r="H14" s="269"/>
    </x:row>
    <x:row r="15">
      <x:c r="A15" s="335" t="str">
        <x:v>2025 specialty-drug share of spend</x:v>
      </x:c>
      <x:c r="B15" s="305" t="str">
        <x:v>33.9%</x:v>
      </x:c>
      <x:c r="C15" s="305" t="str">
        <x:v>Concentrated high-value authorization opportunity</x:v>
      </x:c>
      <x:c r="D15" s="341" t="str">
        <x:v>TELUS Health</x:v>
      </x:c>
      <x:c r="E15" s="269"/>
      <x:c r="F15" s="269"/>
      <x:c r="G15" s="269"/>
      <x:c r="H15" s="269"/>
    </x:row>
    <x:row r="16">
      <x:c r="A16" s="342" t="str">
        <x:v>Physicians in Canada (2024)</x:v>
      </x:c>
      <x:c r="B16" s="348" t="str">
        <x:v>99,555</x:v>
      </x:c>
      <x:c r="C16" s="348" t="str">
        <x:v>Alternative seat-based market cross-check</x:v>
      </x:c>
      <x:c r="D16" s="349" t="str">
        <x:v>CIHI</x:v>
      </x:c>
      <x:c r="E16" s="269"/>
      <x:c r="F16" s="269"/>
      <x:c r="G16" s="269"/>
      <x:c r="H16" s="269"/>
    </x:row>
    <x:row r="17">
      <x:c r="A17" s="269"/>
      <x:c r="B17" s="269"/>
      <x:c r="C17" s="269"/>
      <x:c r="D17" s="269"/>
      <x:c r="E17" s="269"/>
      <x:c r="F17" s="269"/>
      <x:c r="G17" s="269"/>
      <x:c r="H17" s="269"/>
    </x:row>
    <x:row r="18">
      <x:c r="A18" s="269"/>
      <x:c r="B18" s="269"/>
      <x:c r="C18" s="269"/>
      <x:c r="D18" s="269"/>
      <x:c r="E18" s="269"/>
      <x:c r="F18" s="269"/>
      <x:c r="G18" s="269"/>
      <x:c r="H18" s="269"/>
    </x:row>
  </x:sheetData>
  <x:mergeCells>
    <x:mergeCell ref="A1:H1"/>
    <x:mergeCell ref="A2:H2"/>
    <x:mergeCell ref="A10:D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20" hidden="0" customWidth="1"/>
    <x:col min="7" max="7" width="22" hidden="0" customWidth="1"/>
    <x:col min="8" max="8" width="22" hidden="0" customWidth="1"/>
    <x:col min="9" max="9" width="21" hidden="0" customWidth="1"/>
    <x:col min="10" max="10" width="22" hidden="0" customWidth="1"/>
    <x:col min="11" max="11" width="24" hidden="0" customWidth="1"/>
  </x:cols>
  <x:sheetData>
    <x:row r="1">
      <x:c r="A1" s="5" t="str">
        <x:v>Commercial Roadmap — License Pricing &amp; $75K Product Break-even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269"/>
      <x:c r="M1" s="269"/>
      <x:c r="N1" s="269"/>
      <x:c r="O1" s="269"/>
      <x:c r="P1" s="269"/>
      <x:c r="Q1" s="269"/>
      <x:c r="R1" s="269"/>
      <x:c r="S1" s="269"/>
      <x:c r="T1" s="269"/>
    </x:row>
    <x:row r="2" ht="25" customHeight="1">
      <x:c r="A2" s="270" t="str">
        <x:v>Primary case: $3,000/month managed services + cloud is treated as a recurring CUSTOMER FEE, consistent with proposal pricing terminology. The license and onboarding assumptions are editable on the Model Inputs sheet. An alternate sensitivity below treats $3,000/month as INTERNAL platform OPEX.</x:v>
      </x:c>
      <x:c r="B2" s="270"/>
      <x:c r="C2" s="270"/>
      <x:c r="D2" s="270"/>
      <x:c r="E2" s="270"/>
      <x:c r="F2" s="270"/>
      <x:c r="G2" s="270"/>
      <x:c r="H2" s="270"/>
      <x:c r="I2" s="270"/>
      <x:c r="J2" s="270"/>
      <x:c r="K2" s="270"/>
      <x:c r="L2" s="269"/>
      <x:c r="M2" s="269"/>
      <x:c r="N2" s="269"/>
      <x:c r="O2" s="269"/>
      <x:c r="P2" s="269"/>
      <x:c r="Q2" s="269"/>
      <x:c r="R2" s="269"/>
      <x:c r="S2" s="269"/>
      <x:c r="T2" s="269"/>
    </x:row>
    <x:row r="3" ht="25" customHeight="1">
      <x:c r="A3" s="270"/>
      <x:c r="B3" s="270"/>
      <x:c r="C3" s="270"/>
      <x:c r="D3" s="270"/>
      <x:c r="E3" s="270"/>
      <x:c r="F3" s="270"/>
      <x:c r="G3" s="270"/>
      <x:c r="H3" s="270"/>
      <x:c r="I3" s="270"/>
      <x:c r="J3" s="270"/>
      <x:c r="K3" s="270"/>
      <x:c r="L3" s="269"/>
      <x:c r="M3" s="269"/>
      <x:c r="N3" s="269"/>
      <x:c r="O3" s="269"/>
      <x:c r="P3" s="269"/>
      <x:c r="Q3" s="269"/>
      <x:c r="R3" s="269"/>
      <x:c r="S3" s="269"/>
      <x:c r="T3" s="269"/>
    </x:row>
    <x:row r="4">
      <x:c r="A4" s="269"/>
      <x:c r="B4" s="269"/>
      <x:c r="C4" s="269"/>
      <x:c r="D4" s="269"/>
      <x:c r="E4" s="269"/>
      <x:c r="F4" s="269"/>
      <x:c r="G4" s="269"/>
      <x:c r="H4" s="269"/>
      <x:c r="I4" s="269"/>
      <x:c r="J4" s="269"/>
      <x:c r="K4" s="269"/>
      <x:c r="L4" s="269"/>
      <x:c r="M4" s="269"/>
      <x:c r="N4" s="269"/>
      <x:c r="O4" s="269"/>
      <x:c r="P4" s="269"/>
      <x:c r="Q4" s="269"/>
      <x:c r="R4" s="269"/>
      <x:c r="S4" s="269"/>
      <x:c r="T4" s="269"/>
    </x:row>
    <x:row r="5">
      <x:c r="A5" s="13" t="str">
        <x:v>Roadmap Item 1 — Proposed License Tiers &amp; How Many Licenses to Sell</x:v>
      </x:c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269"/>
      <x:c r="M5" s="269"/>
      <x:c r="N5" s="269"/>
      <x:c r="O5" s="269"/>
      <x:c r="P5" s="269"/>
      <x:c r="Q5" s="269"/>
      <x:c r="R5" s="269"/>
      <x:c r="S5" s="269"/>
      <x:c r="T5" s="269"/>
    </x:row>
    <x:row r="6">
      <x:c r="A6" s="182" t="str">
        <x:v>Tier</x:v>
      </x:c>
      <x:c r="B6" s="183" t="str">
        <x:v>Physicians / Customer</x:v>
      </x:c>
      <x:c r="C6" s="183" t="str">
        <x:v>Onboarding Fee ($)</x:v>
      </x:c>
      <x:c r="D6" s="183" t="str">
        <x:v>Annual License ($)</x:v>
      </x:c>
      <x:c r="E6" s="183" t="str">
        <x:v>Managed + Cloud / Mo ($)</x:v>
      </x:c>
      <x:c r="F6" s="183" t="str">
        <x:v>Year-1 Revenue / Customer ($)</x:v>
      </x:c>
      <x:c r="G6" s="183" t="str">
        <x:v>All-in Recurring $ / Physician / Mo</x:v>
      </x:c>
      <x:c r="H6" s="183" t="str">
        <x:v>Customers to Recover $75K in 12 Mo</x:v>
      </x:c>
      <x:c r="I6" s="183" t="str">
        <x:v>Physician Licenses at Break-even</x:v>
      </x:c>
      <x:c r="J6" s="183" t="str">
        <x:v>Break-even Months — 1 Customer</x:v>
      </x:c>
      <x:c r="K6" s="184" t="str">
        <x:v>Break-even Months — Target Customers</x:v>
      </x:c>
      <x:c r="L6" s="269"/>
      <x:c r="M6" s="269"/>
      <x:c r="N6" s="269"/>
      <x:c r="O6" s="269"/>
      <x:c r="P6" s="269"/>
      <x:c r="Q6" s="269"/>
      <x:c r="R6" s="269"/>
      <x:c r="S6" s="269"/>
      <x:c r="T6" s="269"/>
    </x:row>
    <x:row r="7">
      <x:c r="A7" s="389" t="str">
        <x:f>'Model Inputs'!A29</x:f>
        <x:v>Starter</x:v>
      </x:c>
      <x:c r="B7" s="390" t="n">
        <x:f>'Model Inputs'!B29</x:f>
        <x:v>10</x:v>
      </x:c>
      <x:c r="C7" s="391" t="n">
        <x:f>'Model Inputs'!C29</x:f>
        <x:v>3500</x:v>
      </x:c>
      <x:c r="D7" s="391" t="n">
        <x:f>'Model Inputs'!D29</x:f>
        <x:v>15000</x:v>
      </x:c>
      <x:c r="E7" s="391" t="n">
        <x:f>'Model Inputs'!$B$24</x:f>
        <x:v>3000</x:v>
      </x:c>
      <x:c r="F7" s="392" t="n">
        <x:f>C7+D7+(E7*12)</x:f>
        <x:v>54500</x:v>
      </x:c>
      <x:c r="G7" s="315" t="n">
        <x:f>(D7+(E7*12))/B7/12</x:f>
        <x:v>425</x:v>
      </x:c>
      <x:c r="H7" s="393" t="n">
        <x:f>ROUNDUP('Model Inputs'!$B$23/F7,0)</x:f>
        <x:v>2</x:v>
      </x:c>
      <x:c r="I7" s="393" t="n">
        <x:f>B7*H7</x:f>
        <x:v>20</x:v>
      </x:c>
      <x:c r="J7" s="394" t="n">
        <x:f>MAX(0,('Model Inputs'!$B$23-C7)/((D7/12)+E7-'Model Inputs'!$B$25))</x:f>
        <x:v>16.823529411764707</x:v>
      </x:c>
      <x:c r="K7" s="395" t="n">
        <x:f>MAX(0,('Model Inputs'!$B$23-(C7*H7))/((((D7/12)+E7)*H7)-'Model Inputs'!$B$25))</x:f>
        <x:v>8</x:v>
      </x:c>
      <x:c r="L7" s="269"/>
      <x:c r="M7" s="269"/>
      <x:c r="N7" s="269"/>
      <x:c r="O7" s="269"/>
      <x:c r="P7" s="269"/>
      <x:c r="Q7" s="269"/>
      <x:c r="R7" s="269"/>
      <x:c r="S7" s="269"/>
      <x:c r="T7" s="269"/>
    </x:row>
    <x:row r="8">
      <x:c r="A8" s="389" t="str">
        <x:f>'Model Inputs'!A30</x:f>
        <x:v>Growth</x:v>
      </x:c>
      <x:c r="B8" s="390" t="n">
        <x:f>'Model Inputs'!B30</x:f>
        <x:v>25</x:v>
      </x:c>
      <x:c r="C8" s="391" t="n">
        <x:f>'Model Inputs'!C30</x:f>
        <x:v>5000</x:v>
      </x:c>
      <x:c r="D8" s="391" t="n">
        <x:f>'Model Inputs'!D30</x:f>
        <x:v>30000</x:v>
      </x:c>
      <x:c r="E8" s="391" t="n">
        <x:f>'Model Inputs'!$B$24</x:f>
        <x:v>3000</x:v>
      </x:c>
      <x:c r="F8" s="392" t="n">
        <x:f>C8+D8+(E8*12)</x:f>
        <x:v>71000</x:v>
      </x:c>
      <x:c r="G8" s="315" t="n">
        <x:f>(D8+(E8*12))/B8/12</x:f>
        <x:v>220</x:v>
      </x:c>
      <x:c r="H8" s="393" t="n">
        <x:f>ROUNDUP('Model Inputs'!$B$23/F8,0)</x:f>
        <x:v>2</x:v>
      </x:c>
      <x:c r="I8" s="393" t="n">
        <x:f>B8*H8</x:f>
        <x:v>50</x:v>
      </x:c>
      <x:c r="J8" s="394" t="n">
        <x:f>MAX(0,('Model Inputs'!$B$23-C8)/((D8/12)+E8-'Model Inputs'!$B$25))</x:f>
        <x:v>12.727272727272727</x:v>
      </x:c>
      <x:c r="K8" s="395" t="n">
        <x:f>MAX(0,('Model Inputs'!$B$23-(C8*H8))/((((D8/12)+E8)*H8)-'Model Inputs'!$B$25))</x:f>
        <x:v>5.909090909090909</x:v>
      </x:c>
      <x:c r="L8" s="269"/>
      <x:c r="M8" s="269"/>
      <x:c r="N8" s="269"/>
      <x:c r="O8" s="269"/>
      <x:c r="P8" s="269"/>
      <x:c r="Q8" s="269"/>
      <x:c r="R8" s="269"/>
      <x:c r="S8" s="269"/>
      <x:c r="T8" s="269"/>
    </x:row>
    <x:row r="9">
      <x:c r="A9" s="389" t="str">
        <x:f>'Model Inputs'!A31</x:f>
        <x:v>Scale</x:v>
      </x:c>
      <x:c r="B9" s="390" t="n">
        <x:f>'Model Inputs'!B31</x:f>
        <x:v>50</x:v>
      </x:c>
      <x:c r="C9" s="391" t="n">
        <x:f>'Model Inputs'!C31</x:f>
        <x:v>7500</x:v>
      </x:c>
      <x:c r="D9" s="391" t="n">
        <x:f>'Model Inputs'!D31</x:f>
        <x:v>50000</x:v>
      </x:c>
      <x:c r="E9" s="391" t="n">
        <x:f>'Model Inputs'!$B$24</x:f>
        <x:v>3000</x:v>
      </x:c>
      <x:c r="F9" s="392" t="n">
        <x:f>C9+D9+(E9*12)</x:f>
        <x:v>93500</x:v>
      </x:c>
      <x:c r="G9" s="315" t="n">
        <x:f>(D9+(E9*12))/B9/12</x:f>
        <x:v>143.33333333333334</x:v>
      </x:c>
      <x:c r="H9" s="393" t="n">
        <x:f>ROUNDUP('Model Inputs'!$B$23/F9,0)</x:f>
        <x:v>1</x:v>
      </x:c>
      <x:c r="I9" s="393" t="n">
        <x:f>B9*H9</x:f>
        <x:v>50</x:v>
      </x:c>
      <x:c r="J9" s="394" t="n">
        <x:f>MAX(0,('Model Inputs'!$B$23-C9)/((D9/12)+E9-'Model Inputs'!$B$25))</x:f>
        <x:v>9.41860465116279</x:v>
      </x:c>
      <x:c r="K9" s="395" t="n">
        <x:f>MAX(0,('Model Inputs'!$B$23-(C9*H9))/((((D9/12)+E9)*H9)-'Model Inputs'!$B$25))</x:f>
        <x:v>9.41860465116279</x:v>
      </x:c>
      <x:c r="L9" s="269"/>
      <x:c r="M9" s="269"/>
      <x:c r="N9" s="269"/>
      <x:c r="O9" s="269"/>
      <x:c r="P9" s="269"/>
      <x:c r="Q9" s="269"/>
      <x:c r="R9" s="269"/>
      <x:c r="S9" s="269"/>
      <x:c r="T9" s="269"/>
    </x:row>
    <x:row r="10">
      <x:c r="A10" s="389" t="str">
        <x:f>'Model Inputs'!A32</x:f>
        <x:v>Enterprise</x:v>
      </x:c>
      <x:c r="B10" s="390" t="n">
        <x:f>'Model Inputs'!B32</x:f>
        <x:v>100</x:v>
      </x:c>
      <x:c r="C10" s="391" t="n">
        <x:f>'Model Inputs'!C32</x:f>
        <x:v>12500</x:v>
      </x:c>
      <x:c r="D10" s="391" t="n">
        <x:f>'Model Inputs'!D32</x:f>
        <x:v>85000</x:v>
      </x:c>
      <x:c r="E10" s="391" t="n">
        <x:f>'Model Inputs'!$B$24</x:f>
        <x:v>3000</x:v>
      </x:c>
      <x:c r="F10" s="392" t="n">
        <x:f>C10+D10+(E10*12)</x:f>
        <x:v>133500</x:v>
      </x:c>
      <x:c r="G10" s="315" t="n">
        <x:f>(D10+(E10*12))/B10/12</x:f>
        <x:v>100.83333333333333</x:v>
      </x:c>
      <x:c r="H10" s="393" t="n">
        <x:f>ROUNDUP('Model Inputs'!$B$23/F10,0)</x:f>
        <x:v>1</x:v>
      </x:c>
      <x:c r="I10" s="393" t="n">
        <x:f>B10*H10</x:f>
        <x:v>100</x:v>
      </x:c>
      <x:c r="J10" s="394" t="n">
        <x:f>MAX(0,('Model Inputs'!$B$23-C10)/((D10/12)+E10-'Model Inputs'!$B$25))</x:f>
        <x:v>6.198347107438018</x:v>
      </x:c>
      <x:c r="K10" s="395" t="n">
        <x:f>MAX(0,('Model Inputs'!$B$23-(C10*H10))/((((D10/12)+E10)*H10)-'Model Inputs'!$B$25))</x:f>
        <x:v>6.198347107438018</x:v>
      </x:c>
      <x:c r="L10" s="269"/>
      <x:c r="M10" s="269"/>
      <x:c r="N10" s="269"/>
      <x:c r="O10" s="269"/>
      <x:c r="P10" s="269"/>
      <x:c r="Q10" s="269"/>
      <x:c r="R10" s="269"/>
      <x:c r="S10" s="269"/>
      <x:c r="T10" s="269"/>
    </x:row>
    <x:row r="11">
      <x:c r="A11" s="396" t="str">
        <x:f>'Model Inputs'!A33</x:f>
        <x:v>Enterprise+</x:v>
      </x:c>
      <x:c r="B11" s="397" t="n">
        <x:f>'Model Inputs'!B33</x:f>
        <x:v>250</x:v>
      </x:c>
      <x:c r="C11" s="398" t="n">
        <x:f>'Model Inputs'!C33</x:f>
        <x:v>20000</x:v>
      </x:c>
      <x:c r="D11" s="398" t="n">
        <x:f>'Model Inputs'!D33</x:f>
        <x:v>175000</x:v>
      </x:c>
      <x:c r="E11" s="398" t="n">
        <x:f>'Model Inputs'!$B$24</x:f>
        <x:v>3000</x:v>
      </x:c>
      <x:c r="F11" s="399" t="n">
        <x:f>C11+D11+(E11*12)</x:f>
        <x:v>231000</x:v>
      </x:c>
      <x:c r="G11" s="400" t="n">
        <x:f>(D11+(E11*12))/B11/12</x:f>
        <x:v>70.33333333333333</x:v>
      </x:c>
      <x:c r="H11" s="401" t="n">
        <x:f>ROUNDUP('Model Inputs'!$B$23/F11,0)</x:f>
        <x:v>1</x:v>
      </x:c>
      <x:c r="I11" s="401" t="n">
        <x:f>B11*H11</x:f>
        <x:v>250</x:v>
      </x:c>
      <x:c r="J11" s="402" t="n">
        <x:f>MAX(0,('Model Inputs'!$B$23-C11)/((D11/12)+E11-'Model Inputs'!$B$25))</x:f>
        <x:v>3.1279620853080563</x:v>
      </x:c>
      <x:c r="K11" s="403" t="n">
        <x:f>MAX(0,('Model Inputs'!$B$23-(C11*H11))/((((D11/12)+E11)*H11)-'Model Inputs'!$B$25))</x:f>
        <x:v>3.1279620853080563</x:v>
      </x:c>
      <x:c r="L11" s="269"/>
      <x:c r="M11" s="269"/>
      <x:c r="N11" s="269"/>
      <x:c r="O11" s="269"/>
      <x:c r="P11" s="269"/>
      <x:c r="Q11" s="269"/>
      <x:c r="R11" s="269"/>
      <x:c r="S11" s="269"/>
      <x:c r="T11" s="269"/>
    </x:row>
    <x:row r="12">
      <x:c r="A12" s="269"/>
      <x:c r="B12" s="269"/>
      <x:c r="C12" s="269"/>
      <x:c r="D12" s="269"/>
      <x:c r="E12" s="269"/>
      <x:c r="F12" s="269"/>
      <x:c r="G12" s="269"/>
      <x:c r="H12" s="269"/>
      <x:c r="I12" s="269"/>
      <x:c r="J12" s="269"/>
      <x:c r="K12" s="269"/>
      <x:c r="L12" s="269"/>
      <x:c r="M12" s="269"/>
      <x:c r="N12" s="269"/>
      <x:c r="O12" s="269"/>
      <x:c r="P12" s="269"/>
      <x:c r="Q12" s="269"/>
      <x:c r="R12" s="269"/>
      <x:c r="S12" s="269"/>
      <x:c r="T12" s="269"/>
    </x:row>
    <x:row r="13">
      <x:c r="A13" s="13" t="str">
        <x:v>Recommended Commercial Interpretation</x:v>
      </x:c>
      <x:c r="B13" s="13"/>
      <x:c r="C13" s="13"/>
      <x:c r="D13" s="13"/>
      <x:c r="E13" s="13"/>
      <x:c r="F13" s="13"/>
      <x:c r="G13" s="269"/>
      <x:c r="H13" s="269"/>
      <x:c r="I13" s="269"/>
      <x:c r="J13" s="269"/>
      <x:c r="K13" s="269"/>
      <x:c r="L13" s="269"/>
      <x:c r="M13" s="269"/>
      <x:c r="N13" s="269"/>
      <x:c r="O13" s="269"/>
      <x:c r="P13" s="269"/>
      <x:c r="Q13" s="269"/>
      <x:c r="R13" s="269"/>
      <x:c r="S13" s="269"/>
      <x:c r="T13" s="269"/>
    </x:row>
    <x:row r="14" ht="34" customHeight="1">
      <x:c r="A14" s="327" t="str">
        <x:v>Starter / up to 10 physicians</x:v>
      </x:c>
      <x:c r="B14" s="334" t="str">
        <x:v>Use as land-and-expand offer; keep one-time onboarding at ~$3.5K and protect the $3K/month service/platform fee.</x:v>
      </x:c>
      <x:c r="C14" s="305"/>
      <x:c r="D14" s="305"/>
      <x:c r="E14" s="305"/>
      <x:c r="F14" s="305"/>
      <x:c r="G14" s="269"/>
      <x:c r="H14" s="269"/>
      <x:c r="I14" s="269"/>
      <x:c r="J14" s="269"/>
      <x:c r="K14" s="269"/>
      <x:c r="L14" s="269"/>
      <x:c r="M14" s="269"/>
      <x:c r="N14" s="269"/>
      <x:c r="O14" s="269"/>
      <x:c r="P14" s="269"/>
      <x:c r="Q14" s="269"/>
      <x:c r="R14" s="269"/>
      <x:c r="S14" s="269"/>
      <x:c r="T14" s="269"/>
    </x:row>
    <x:row r="15" ht="34" customHeight="1">
      <x:c r="A15" s="335" t="str">
        <x:v>25 physicians</x:v>
      </x:c>
      <x:c r="B15" s="341" t="str">
        <x:v>A strong mid-market tier; two customers recover the build well within the first year under the primary fee model.</x:v>
      </x:c>
      <x:c r="C15" s="305"/>
      <x:c r="D15" s="305"/>
      <x:c r="E15" s="305"/>
      <x:c r="F15" s="305"/>
      <x:c r="G15" s="269"/>
      <x:c r="H15" s="269"/>
      <x:c r="I15" s="269"/>
      <x:c r="J15" s="269"/>
      <x:c r="K15" s="269"/>
      <x:c r="L15" s="269"/>
      <x:c r="M15" s="269"/>
      <x:c r="N15" s="269"/>
      <x:c r="O15" s="269"/>
      <x:c r="P15" s="269"/>
      <x:c r="Q15" s="269"/>
      <x:c r="R15" s="269"/>
      <x:c r="S15" s="269"/>
      <x:c r="T15" s="269"/>
    </x:row>
    <x:row r="16" ht="34" customHeight="1">
      <x:c r="A16" s="335" t="str">
        <x:v>50 physicians</x:v>
      </x:c>
      <x:c r="B16" s="341" t="str">
        <x:v>One customer can recover the $75K build within the first year under the proposed pricing.</x:v>
      </x:c>
      <x:c r="C16" s="305"/>
      <x:c r="D16" s="305"/>
      <x:c r="E16" s="305"/>
      <x:c r="F16" s="305"/>
      <x:c r="G16" s="269"/>
      <x:c r="H16" s="269"/>
      <x:c r="I16" s="269"/>
      <x:c r="J16" s="269"/>
      <x:c r="K16" s="269"/>
      <x:c r="L16" s="269"/>
      <x:c r="M16" s="269"/>
      <x:c r="N16" s="269"/>
      <x:c r="O16" s="269"/>
      <x:c r="P16" s="269"/>
      <x:c r="Q16" s="269"/>
      <x:c r="R16" s="269"/>
      <x:c r="S16" s="269"/>
      <x:c r="T16" s="269"/>
    </x:row>
    <x:row r="17" ht="34" customHeight="1">
      <x:c r="A17" s="342" t="str">
        <x:v>100+ physicians</x:v>
      </x:c>
      <x:c r="B17" s="349" t="str">
        <x:v>Enterprise economics become compelling; use annual minimums and integration scope controls.</x:v>
      </x:c>
      <x:c r="C17" s="305"/>
      <x:c r="D17" s="305"/>
      <x:c r="E17" s="305"/>
      <x:c r="F17" s="305"/>
      <x:c r="G17" s="269"/>
      <x:c r="H17" s="269"/>
      <x:c r="I17" s="269"/>
      <x:c r="J17" s="269"/>
      <x:c r="K17" s="269"/>
      <x:c r="L17" s="269"/>
      <x:c r="M17" s="269"/>
      <x:c r="N17" s="269"/>
      <x:c r="O17" s="269"/>
      <x:c r="P17" s="269"/>
      <x:c r="Q17" s="269"/>
      <x:c r="R17" s="269"/>
      <x:c r="S17" s="269"/>
      <x:c r="T17" s="269"/>
    </x:row>
    <x:row r="18">
      <x:c r="A18" s="269"/>
      <x:c r="B18" s="269"/>
      <x:c r="C18" s="269"/>
      <x:c r="D18" s="269"/>
      <x:c r="E18" s="269"/>
      <x:c r="F18" s="269"/>
      <x:c r="G18" s="269"/>
      <x:c r="H18" s="269"/>
      <x:c r="I18" s="269"/>
      <x:c r="J18" s="269"/>
      <x:c r="K18" s="269"/>
      <x:c r="L18" s="269"/>
      <x:c r="M18" s="269"/>
      <x:c r="N18" s="269"/>
      <x:c r="O18" s="269"/>
      <x:c r="P18" s="269"/>
      <x:c r="Q18" s="269"/>
      <x:c r="R18" s="269"/>
      <x:c r="S18" s="269"/>
      <x:c r="T18" s="269"/>
    </x:row>
    <x:row r="19">
      <x:c r="A19" s="269"/>
      <x:c r="B19" s="269"/>
      <x:c r="C19" s="269"/>
      <x:c r="D19" s="269"/>
      <x:c r="E19" s="269"/>
      <x:c r="F19" s="269"/>
      <x:c r="G19" s="269"/>
      <x:c r="H19" s="269"/>
      <x:c r="I19" s="269"/>
      <x:c r="J19" s="269"/>
      <x:c r="K19" s="269"/>
      <x:c r="L19" s="269"/>
      <x:c r="M19" s="269"/>
      <x:c r="N19" s="269"/>
      <x:c r="O19" s="269"/>
      <x:c r="P19" s="269"/>
      <x:c r="Q19" s="269"/>
      <x:c r="R19" s="269"/>
      <x:c r="S19" s="269"/>
      <x:c r="T19" s="269"/>
    </x:row>
    <x:row r="20">
      <x:c r="A20" s="13" t="str">
        <x:v>Roadmap Item 2 — Break-even Sensitivity if $3,000 / Month Is INTERNAL OPEX Instead</x:v>
      </x:c>
      <x:c r="B20" s="13"/>
      <x:c r="C20" s="13"/>
      <x:c r="D20" s="13"/>
      <x:c r="E20" s="13"/>
      <x:c r="F20" s="13"/>
      <x:c r="G20" s="13"/>
      <x:c r="H20" s="13"/>
      <x:c r="I20" s="269"/>
      <x:c r="J20" s="269"/>
      <x:c r="K20" s="269"/>
      <x:c r="L20" s="269"/>
      <x:c r="M20" s="269"/>
      <x:c r="N20" s="269"/>
      <x:c r="O20" s="269"/>
      <x:c r="P20" s="269"/>
      <x:c r="Q20" s="269"/>
      <x:c r="R20" s="269"/>
      <x:c r="S20" s="269"/>
      <x:c r="T20" s="269"/>
    </x:row>
    <x:row r="21">
      <x:c r="A21" s="182" t="str">
        <x:v>Tier</x:v>
      </x:c>
      <x:c r="B21" s="183" t="str">
        <x:v>Onboarding ($)</x:v>
      </x:c>
      <x:c r="C21" s="183" t="str">
        <x:v>Annual License ($)</x:v>
      </x:c>
      <x:c r="D21" s="183" t="str">
        <x:v>Annual Internal OPEX ($)</x:v>
      </x:c>
      <x:c r="E21" s="183" t="str">
        <x:v>Year-1 Net Contribution / Customer* ($)</x:v>
      </x:c>
      <x:c r="F21" s="183" t="str">
        <x:v>Customers Needed for $75K + 12 Mo OPEX</x:v>
      </x:c>
      <x:c r="G21" s="183" t="str">
        <x:v>Physician Licenses Needed</x:v>
      </x:c>
      <x:c r="H21" s="184" t="str">
        <x:v>Comment</x:v>
      </x:c>
      <x:c r="I21" s="269"/>
      <x:c r="J21" s="269"/>
      <x:c r="K21" s="269"/>
      <x:c r="L21" s="269"/>
      <x:c r="M21" s="269"/>
      <x:c r="N21" s="269"/>
      <x:c r="O21" s="269"/>
      <x:c r="P21" s="269"/>
      <x:c r="Q21" s="269"/>
      <x:c r="R21" s="269"/>
      <x:c r="S21" s="269"/>
      <x:c r="T21" s="269"/>
    </x:row>
    <x:row r="22">
      <x:c r="A22" s="389" t="str">
        <x:f>'Model Inputs'!A29</x:f>
        <x:v>Starter</x:v>
      </x:c>
      <x:c r="B22" s="391" t="n">
        <x:f>'Model Inputs'!C29</x:f>
        <x:v>3500</x:v>
      </x:c>
      <x:c r="C22" s="391" t="n">
        <x:f>'Model Inputs'!D29</x:f>
        <x:v>15000</x:v>
      </x:c>
      <x:c r="D22" s="391" t="n">
        <x:f>'Model Inputs'!$B$24*12</x:f>
        <x:v>36000</x:v>
      </x:c>
      <x:c r="E22" s="404" t="n">
        <x:f>B22+C22</x:f>
        <x:v>18500</x:v>
      </x:c>
      <x:c r="F22" s="405" t="n">
        <x:f>ROUNDUP(('Model Inputs'!$B$23+D22)/E22,0)</x:f>
        <x:v>6</x:v>
      </x:c>
      <x:c r="G22" s="405" t="n">
        <x:f>F22*'Model Inputs'!B29</x:f>
        <x:v>60</x:v>
      </x:c>
      <x:c r="H22" s="341" t="str">
        <x:v>Sensitivity only — assumes $3K/month is platform-level fixed OPEX, not customer revenue.</x:v>
      </x:c>
      <x:c r="I22" s="269"/>
      <x:c r="J22" s="269"/>
      <x:c r="K22" s="269"/>
      <x:c r="L22" s="269"/>
      <x:c r="M22" s="269"/>
      <x:c r="N22" s="269"/>
      <x:c r="O22" s="269"/>
      <x:c r="P22" s="269"/>
      <x:c r="Q22" s="269"/>
      <x:c r="R22" s="269"/>
      <x:c r="S22" s="269"/>
      <x:c r="T22" s="269"/>
    </x:row>
    <x:row r="23">
      <x:c r="A23" s="389" t="str">
        <x:f>'Model Inputs'!A30</x:f>
        <x:v>Growth</x:v>
      </x:c>
      <x:c r="B23" s="391" t="n">
        <x:f>'Model Inputs'!C30</x:f>
        <x:v>5000</x:v>
      </x:c>
      <x:c r="C23" s="391" t="n">
        <x:f>'Model Inputs'!D30</x:f>
        <x:v>30000</x:v>
      </x:c>
      <x:c r="D23" s="391" t="n">
        <x:f>'Model Inputs'!$B$24*12</x:f>
        <x:v>36000</x:v>
      </x:c>
      <x:c r="E23" s="404" t="n">
        <x:f>B23+C23</x:f>
        <x:v>35000</x:v>
      </x:c>
      <x:c r="F23" s="405" t="n">
        <x:f>ROUNDUP(('Model Inputs'!$B$23+D23)/E23,0)</x:f>
        <x:v>4</x:v>
      </x:c>
      <x:c r="G23" s="405" t="n">
        <x:f>F23*'Model Inputs'!B30</x:f>
        <x:v>100</x:v>
      </x:c>
      <x:c r="H23" s="341" t="str">
        <x:v>Sensitivity only — assumes $3K/month is platform-level fixed OPEX, not customer revenue.</x:v>
      </x:c>
      <x:c r="I23" s="269"/>
      <x:c r="J23" s="269"/>
      <x:c r="K23" s="269"/>
      <x:c r="L23" s="269"/>
      <x:c r="M23" s="269"/>
      <x:c r="N23" s="269"/>
      <x:c r="O23" s="269"/>
      <x:c r="P23" s="269"/>
      <x:c r="Q23" s="269"/>
      <x:c r="R23" s="269"/>
      <x:c r="S23" s="269"/>
      <x:c r="T23" s="269"/>
    </x:row>
    <x:row r="24">
      <x:c r="A24" s="389" t="str">
        <x:f>'Model Inputs'!A31</x:f>
        <x:v>Scale</x:v>
      </x:c>
      <x:c r="B24" s="391" t="n">
        <x:f>'Model Inputs'!C31</x:f>
        <x:v>7500</x:v>
      </x:c>
      <x:c r="C24" s="391" t="n">
        <x:f>'Model Inputs'!D31</x:f>
        <x:v>50000</x:v>
      </x:c>
      <x:c r="D24" s="391" t="n">
        <x:f>'Model Inputs'!$B$24*12</x:f>
        <x:v>36000</x:v>
      </x:c>
      <x:c r="E24" s="404" t="n">
        <x:f>B24+C24</x:f>
        <x:v>57500</x:v>
      </x:c>
      <x:c r="F24" s="405" t="n">
        <x:f>ROUNDUP(('Model Inputs'!$B$23+D24)/E24,0)</x:f>
        <x:v>2</x:v>
      </x:c>
      <x:c r="G24" s="405" t="n">
        <x:f>F24*'Model Inputs'!B31</x:f>
        <x:v>100</x:v>
      </x:c>
      <x:c r="H24" s="341" t="str">
        <x:v>Sensitivity only — assumes $3K/month is platform-level fixed OPEX, not customer revenue.</x:v>
      </x:c>
      <x:c r="I24" s="269"/>
      <x:c r="J24" s="269"/>
      <x:c r="K24" s="269"/>
      <x:c r="L24" s="269"/>
      <x:c r="M24" s="269"/>
      <x:c r="N24" s="269"/>
      <x:c r="O24" s="269"/>
      <x:c r="P24" s="269"/>
      <x:c r="Q24" s="269"/>
      <x:c r="R24" s="269"/>
      <x:c r="S24" s="269"/>
      <x:c r="T24" s="269"/>
    </x:row>
    <x:row r="25">
      <x:c r="A25" s="389" t="str">
        <x:f>'Model Inputs'!A32</x:f>
        <x:v>Enterprise</x:v>
      </x:c>
      <x:c r="B25" s="391" t="n">
        <x:f>'Model Inputs'!C32</x:f>
        <x:v>12500</x:v>
      </x:c>
      <x:c r="C25" s="391" t="n">
        <x:f>'Model Inputs'!D32</x:f>
        <x:v>85000</x:v>
      </x:c>
      <x:c r="D25" s="391" t="n">
        <x:f>'Model Inputs'!$B$24*12</x:f>
        <x:v>36000</x:v>
      </x:c>
      <x:c r="E25" s="404" t="n">
        <x:f>B25+C25</x:f>
        <x:v>97500</x:v>
      </x:c>
      <x:c r="F25" s="405" t="n">
        <x:f>ROUNDUP(('Model Inputs'!$B$23+D25)/E25,0)</x:f>
        <x:v>2</x:v>
      </x:c>
      <x:c r="G25" s="405" t="n">
        <x:f>F25*'Model Inputs'!B32</x:f>
        <x:v>200</x:v>
      </x:c>
      <x:c r="H25" s="341" t="str">
        <x:v>Sensitivity only — assumes $3K/month is platform-level fixed OPEX, not customer revenue.</x:v>
      </x:c>
      <x:c r="I25" s="269"/>
      <x:c r="J25" s="269"/>
      <x:c r="K25" s="269"/>
      <x:c r="L25" s="269"/>
      <x:c r="M25" s="269"/>
      <x:c r="N25" s="269"/>
      <x:c r="O25" s="269"/>
      <x:c r="P25" s="269"/>
      <x:c r="Q25" s="269"/>
      <x:c r="R25" s="269"/>
      <x:c r="S25" s="269"/>
      <x:c r="T25" s="269"/>
    </x:row>
    <x:row r="26">
      <x:c r="A26" s="396" t="str">
        <x:f>'Model Inputs'!A33</x:f>
        <x:v>Enterprise+</x:v>
      </x:c>
      <x:c r="B26" s="398" t="n">
        <x:f>'Model Inputs'!C33</x:f>
        <x:v>20000</x:v>
      </x:c>
      <x:c r="C26" s="398" t="n">
        <x:f>'Model Inputs'!D33</x:f>
        <x:v>175000</x:v>
      </x:c>
      <x:c r="D26" s="398" t="n">
        <x:f>'Model Inputs'!$B$24*12</x:f>
        <x:v>36000</x:v>
      </x:c>
      <x:c r="E26" s="406" t="n">
        <x:f>B26+C26</x:f>
        <x:v>195000</x:v>
      </x:c>
      <x:c r="F26" s="407" t="n">
        <x:f>ROUNDUP(('Model Inputs'!$B$23+D26)/E26,0)</x:f>
        <x:v>1</x:v>
      </x:c>
      <x:c r="G26" s="407" t="n">
        <x:f>F26*'Model Inputs'!B33</x:f>
        <x:v>250</x:v>
      </x:c>
      <x:c r="H26" s="349" t="str">
        <x:v>Sensitivity only — assumes $3K/month is platform-level fixed OPEX, not customer revenue.</x:v>
      </x:c>
      <x:c r="I26" s="269"/>
      <x:c r="J26" s="269"/>
      <x:c r="K26" s="269"/>
      <x:c r="L26" s="269"/>
      <x:c r="M26" s="269"/>
      <x:c r="N26" s="269"/>
      <x:c r="O26" s="269"/>
      <x:c r="P26" s="269"/>
      <x:c r="Q26" s="269"/>
      <x:c r="R26" s="269"/>
      <x:c r="S26" s="269"/>
      <x:c r="T26" s="269"/>
    </x:row>
    <x:row r="27">
      <x:c r="A27" s="269"/>
      <x:c r="B27" s="269"/>
      <x:c r="C27" s="269"/>
      <x:c r="D27" s="269"/>
      <x:c r="E27" s="269"/>
      <x:c r="F27" s="269"/>
      <x:c r="G27" s="269"/>
      <x:c r="H27" s="269"/>
      <x:c r="I27" s="269"/>
      <x:c r="J27" s="269"/>
      <x:c r="K27" s="269"/>
      <x:c r="L27" s="269"/>
      <x:c r="M27" s="269"/>
      <x:c r="N27" s="269"/>
      <x:c r="O27" s="269"/>
      <x:c r="P27" s="269"/>
      <x:c r="Q27" s="269"/>
      <x:c r="R27" s="269"/>
      <x:c r="S27" s="269"/>
      <x:c r="T27" s="269"/>
    </x:row>
    <x:row r="28">
      <x:c r="A28" s="269"/>
      <x:c r="B28" s="269"/>
      <x:c r="C28" s="269"/>
      <x:c r="D28" s="269"/>
      <x:c r="E28" s="269"/>
      <x:c r="F28" s="269"/>
      <x:c r="G28" s="269"/>
      <x:c r="H28" s="269"/>
      <x:c r="I28" s="269"/>
      <x:c r="J28" s="269"/>
      <x:c r="K28" s="269"/>
      <x:c r="L28" s="269"/>
      <x:c r="M28" s="269"/>
      <x:c r="N28" s="269"/>
      <x:c r="O28" s="269"/>
      <x:c r="P28" s="269"/>
      <x:c r="Q28" s="269"/>
      <x:c r="R28" s="269"/>
      <x:c r="S28" s="269"/>
      <x:c r="T28" s="269"/>
    </x:row>
    <x:row r="29">
      <x:c r="A29" s="13" t="str">
        <x:v>Quick Break-even Takeaway — Primary Model</x:v>
      </x:c>
      <x:c r="B29" s="13"/>
      <x:c r="C29" s="13"/>
      <x:c r="D29" s="13"/>
      <x:c r="E29" s="269"/>
      <x:c r="F29" s="269"/>
      <x:c r="G29" s="269"/>
      <x:c r="H29" s="269"/>
      <x:c r="I29" s="269"/>
      <x:c r="J29" s="269"/>
      <x:c r="K29" s="269"/>
      <x:c r="L29" s="269"/>
      <x:c r="M29" s="269"/>
      <x:c r="N29" s="269"/>
      <x:c r="O29" s="269"/>
      <x:c r="P29" s="269"/>
      <x:c r="Q29" s="269"/>
      <x:c r="R29" s="269"/>
      <x:c r="S29" s="269"/>
      <x:c r="T29" s="269"/>
    </x:row>
    <x:row r="30">
      <x:c r="A30" s="182" t="str">
        <x:v>Question</x:v>
      </x:c>
      <x:c r="B30" s="183" t="str">
        <x:v>Starter 10</x:v>
      </x:c>
      <x:c r="C30" s="183" t="str">
        <x:v>Scale 50</x:v>
      </x:c>
      <x:c r="D30" s="184" t="str">
        <x:v>Enterprise 100</x:v>
      </x:c>
      <x:c r="E30" s="269"/>
      <x:c r="F30" s="269"/>
      <x:c r="G30" s="269"/>
      <x:c r="H30" s="269"/>
      <x:c r="I30" s="269"/>
      <x:c r="J30" s="269"/>
      <x:c r="K30" s="269"/>
      <x:c r="L30" s="269"/>
      <x:c r="M30" s="269"/>
      <x:c r="N30" s="269"/>
      <x:c r="O30" s="269"/>
      <x:c r="P30" s="269"/>
      <x:c r="Q30" s="269"/>
      <x:c r="R30" s="269"/>
      <x:c r="S30" s="269"/>
      <x:c r="T30" s="269"/>
    </x:row>
    <x:row r="31">
      <x:c r="A31" s="271" t="str">
        <x:v>Customers to recover $75K in 12 months</x:v>
      </x:c>
      <x:c r="B31" s="408" t="n">
        <x:f>H7</x:f>
        <x:v>2</x:v>
      </x:c>
      <x:c r="C31" s="408" t="n">
        <x:f>H9</x:f>
        <x:v>1</x:v>
      </x:c>
      <x:c r="D31" s="409" t="n">
        <x:f>H10</x:f>
        <x:v>1</x:v>
      </x:c>
      <x:c r="E31" s="269"/>
      <x:c r="F31" s="269"/>
      <x:c r="G31" s="269"/>
      <x:c r="H31" s="269"/>
      <x:c r="I31" s="269"/>
      <x:c r="J31" s="269"/>
      <x:c r="K31" s="269"/>
      <x:c r="L31" s="269"/>
      <x:c r="M31" s="269"/>
      <x:c r="N31" s="269"/>
      <x:c r="O31" s="269"/>
      <x:c r="P31" s="269"/>
      <x:c r="Q31" s="269"/>
      <x:c r="R31" s="269"/>
      <x:c r="S31" s="269"/>
      <x:c r="T31" s="269"/>
    </x:row>
    <x:row r="32">
      <x:c r="A32" s="271" t="str">
        <x:v>Physician seats at that point</x:v>
      </x:c>
      <x:c r="B32" s="408" t="n">
        <x:f>I7</x:f>
        <x:v>20</x:v>
      </x:c>
      <x:c r="C32" s="408" t="n">
        <x:f>I9</x:f>
        <x:v>50</x:v>
      </x:c>
      <x:c r="D32" s="409" t="n">
        <x:f>I10</x:f>
        <x:v>100</x:v>
      </x:c>
      <x:c r="E32" s="269"/>
      <x:c r="F32" s="269"/>
      <x:c r="G32" s="269"/>
      <x:c r="H32" s="269"/>
      <x:c r="I32" s="269"/>
      <x:c r="J32" s="269"/>
      <x:c r="K32" s="269"/>
      <x:c r="L32" s="269"/>
      <x:c r="M32" s="269"/>
      <x:c r="N32" s="269"/>
      <x:c r="O32" s="269"/>
      <x:c r="P32" s="269"/>
      <x:c r="Q32" s="269"/>
      <x:c r="R32" s="269"/>
      <x:c r="S32" s="269"/>
      <x:c r="T32" s="269"/>
    </x:row>
    <x:row r="33">
      <x:c r="A33" s="271" t="str">
        <x:v>Break-even months at target customers</x:v>
      </x:c>
      <x:c r="B33" s="408" t="n">
        <x:f>K7</x:f>
        <x:v>8</x:v>
      </x:c>
      <x:c r="C33" s="408" t="n">
        <x:f>K9</x:f>
        <x:v>9.41860465116279</x:v>
      </x:c>
      <x:c r="D33" s="409" t="n">
        <x:f>K10</x:f>
        <x:v>6.198347107438018</x:v>
      </x:c>
      <x:c r="E33" s="269"/>
      <x:c r="F33" s="269"/>
      <x:c r="G33" s="269"/>
      <x:c r="H33" s="269"/>
      <x:c r="I33" s="269"/>
      <x:c r="J33" s="269"/>
      <x:c r="K33" s="269"/>
      <x:c r="L33" s="269"/>
      <x:c r="M33" s="269"/>
      <x:c r="N33" s="269"/>
      <x:c r="O33" s="269"/>
      <x:c r="P33" s="269"/>
      <x:c r="Q33" s="269"/>
      <x:c r="R33" s="269"/>
      <x:c r="S33" s="269"/>
      <x:c r="T33" s="269"/>
    </x:row>
    <x:row r="34">
      <x:c r="A34" s="275" t="str">
        <x:v>Year-1 revenue / customer</x:v>
      </x:c>
      <x:c r="B34" s="410" t="n">
        <x:f>F7</x:f>
        <x:v>54500</x:v>
      </x:c>
      <x:c r="C34" s="410" t="n">
        <x:f>F9</x:f>
        <x:v>93500</x:v>
      </x:c>
      <x:c r="D34" s="411" t="n">
        <x:f>F10</x:f>
        <x:v>133500</x:v>
      </x:c>
      <x:c r="E34" s="269"/>
      <x:c r="F34" s="269"/>
      <x:c r="G34" s="269"/>
      <x:c r="H34" s="269"/>
      <x:c r="I34" s="269"/>
      <x:c r="J34" s="269"/>
      <x:c r="K34" s="269"/>
      <x:c r="L34" s="269"/>
      <x:c r="M34" s="269"/>
      <x:c r="N34" s="269"/>
      <x:c r="O34" s="269"/>
      <x:c r="P34" s="269"/>
      <x:c r="Q34" s="269"/>
      <x:c r="R34" s="269"/>
      <x:c r="S34" s="269"/>
      <x:c r="T34" s="269"/>
    </x:row>
    <x:row r="35">
      <x:c r="A35" s="269"/>
      <x:c r="B35" s="269"/>
      <x:c r="C35" s="269"/>
      <x:c r="D35" s="269"/>
      <x:c r="E35" s="269"/>
      <x:c r="F35" s="269"/>
      <x:c r="G35" s="269"/>
      <x:c r="H35" s="269"/>
      <x:c r="I35" s="269"/>
      <x:c r="J35" s="269"/>
      <x:c r="K35" s="269"/>
      <x:c r="L35" s="269"/>
      <x:c r="M35" s="269"/>
      <x:c r="N35" s="269"/>
      <x:c r="O35" s="269"/>
      <x:c r="P35" s="269"/>
      <x:c r="Q35" s="269"/>
      <x:c r="R35" s="269"/>
      <x:c r="S35" s="269"/>
      <x:c r="T35" s="269"/>
    </x:row>
    <x:row r="36">
      <x:c r="A36" s="269"/>
      <x:c r="B36" s="269"/>
      <x:c r="C36" s="269"/>
      <x:c r="D36" s="269"/>
      <x:c r="E36" s="269"/>
      <x:c r="F36" s="269"/>
      <x:c r="G36" s="269"/>
      <x:c r="H36" s="269"/>
      <x:c r="I36" s="269"/>
      <x:c r="J36" s="269"/>
      <x:c r="K36" s="269"/>
      <x:c r="L36" s="269"/>
      <x:c r="M36" s="269"/>
      <x:c r="N36" s="269"/>
      <x:c r="O36" s="269"/>
      <x:c r="P36" s="269"/>
      <x:c r="Q36" s="269"/>
      <x:c r="R36" s="269"/>
      <x:c r="S36" s="269"/>
      <x:c r="T36" s="269"/>
    </x:row>
  </x:sheetData>
  <x:mergeCells>
    <x:mergeCell ref="A1:K1"/>
    <x:mergeCell ref="A2:K3"/>
    <x:mergeCell ref="A5:K5"/>
    <x:mergeCell ref="A13:F13"/>
    <x:mergeCell ref="A20:H20"/>
    <x:mergeCell ref="A29:D29"/>
    <x:mergeCell ref="B14:F14"/>
    <x:mergeCell ref="B15:F15"/>
    <x:mergeCell ref="B16:F16"/>
    <x:mergeCell ref="B17:F17"/>
  </x:mergeCells>
  <x:conditionalFormatting sqref="H7:H1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{F602B4C2-E995-6ECE-1823-F2ECD4292625}</x14:id>
        </x:ext>
      </x:extLst>
    </x:cfRule>
  </x:conditionalFormatting>
  <x:conditionalFormatting sqref="K7:K11">
    <x:cfRule type="colorScale" priority="2">
      <x:colorScale>
        <x:cfvo type="min"/>
        <x:cfvo type="percentile" val="50"/>
        <x:cfvo type="max"/>
        <x:color rgb="FFE2F0D9"/>
        <x:color rgb="FFFFF2CC"/>
        <x:color rgb="FFFCE4D6"/>
      </x:colorScale>
    </x:cfRule>
  </x:conditionalFormatting>
  <x:pageMargins left="0.7" right="0.7" top="0.75" bottom="0.75" header="0.3" footer="0.3"/>
  <x:drawing xmlns:r="http://schemas.openxmlformats.org/officeDocument/2006/relationships" r:id="R48b138f9dcd34d1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602B4C2-E995-6ECE-1823-F2ECD4292625}">
            <x14:dataBar gradient="1">
              <x14:cfvo type="min"/>
              <x14:cfvo type="max"/>
              <x14:fillColor rgb="FFA02B93"/>
            </x14:dataBar>
          </x14:cfRule>
          <xm:sqref>H7:H11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70" hidden="0" customWidth="1"/>
    <x:col min="4" max="4" width="22" hidden="0" customWidth="1"/>
    <x:col min="5" max="5" width="52" hidden="0" customWidth="1"/>
  </x:cols>
  <x:sheetData>
    <x:row r="1">
      <x:c r="A1" s="5" t="str">
        <x:v>Sources, Definitions &amp; Modeling Caveats</x:v>
      </x:c>
      <x:c r="B1" s="5"/>
      <x:c r="C1" s="5"/>
      <x:c r="D1" s="5"/>
      <x:c r="E1" s="5"/>
    </x:row>
    <x:row r="2">
      <x:c r="A2" s="269"/>
      <x:c r="B2" s="269"/>
      <x:c r="C2" s="269"/>
      <x:c r="D2" s="269"/>
      <x:c r="E2" s="269"/>
    </x:row>
    <x:row r="3">
      <x:c r="A3" s="182" t="str">
        <x:v>Source</x:v>
      </x:c>
      <x:c r="B3" s="183" t="str">
        <x:v>Metric / Use</x:v>
      </x:c>
      <x:c r="C3" s="183" t="str">
        <x:v>URL</x:v>
      </x:c>
      <x:c r="D3" s="183" t="str">
        <x:v>As-of / Year</x:v>
      </x:c>
      <x:c r="E3" s="184" t="str">
        <x:v>Notes</x:v>
      </x:c>
    </x:row>
    <x:row r="4">
      <x:c r="A4" s="335" t="str">
        <x:v>CAQH 2024 Index</x:v>
      </x:c>
      <x:c r="B4" s="305" t="str">
        <x:v>U.S. prior authorization volume by mode; provider costs per transaction</x:v>
      </x:c>
      <x:c r="C4" s="305" t="str">
        <x:v>https://www.caqh.org/hubfs/Index/2024%20Index%20Report/CAQH_IndexReport_2024_FINAL.pdf</x:v>
      </x:c>
      <x:c r="D4" s="305" t="str">
        <x:v>2024</x:v>
      </x:c>
      <x:c r="E4" s="341" t="str">
        <x:v>95M electronic, 123M partial, 54M manual; provider costs: $5.38 / $8.93 / $12.88</x:v>
      </x:c>
    </x:row>
    <x:row r="5">
      <x:c r="A5" s="335" t="str">
        <x:v>KFF State Health Facts</x:v>
      </x:c>
      <x:c r="B5" s="305" t="str">
        <x:v>2024 insured population allocation by state</x:v>
      </x:c>
      <x:c r="C5" s="305" t="str">
        <x:v>https://www.kff.org/state-health-policy-data/state-indicator/total-population/</x:v>
      </x:c>
      <x:c r="D5" s="305" t="str">
        <x:v>2024</x:v>
      </x:c>
      <x:c r="E5" s="341" t="str">
        <x:v>State insured population = total less uninsured; workbook uses rounded insured millions from the KFF table</x:v>
      </x:c>
    </x:row>
    <x:row r="6">
      <x:c r="A6" s="335" t="str">
        <x:v>CMS CMS-0057-F</x:v>
      </x:c>
      <x:c r="B6" s="305" t="str">
        <x:v>Prior Authorization API and compliance timing</x:v>
      </x:c>
      <x:c r="C6" s="305" t="str">
        <x:v>https://www.cms.gov/newsroom/fact-sheets/cms-interoperability-prior-authorization-final-rule-cms-0057-f</x:v>
      </x:c>
      <x:c r="D6" s="305" t="str">
        <x:v>2024 rule; 2026/2027 implementation</x:v>
      </x:c>
      <x:c r="E6" s="341" t="str">
        <x:v>API requirements primarily by Jan. 1, 2027; process requirements begin earlier</x:v>
      </x:c>
    </x:row>
    <x:row r="7">
      <x:c r="A7" s="335" t="str">
        <x:v>CMS Prior Authorization API FAQ</x:v>
      </x:c>
      <x:c r="B7" s="305" t="str">
        <x:v>72-hour expedited and 7-day standard decision timelines</x:v>
      </x:c>
      <x:c r="C7" s="305" t="str">
        <x:v>https://www.cms.gov/initiatives/burden-reduction/overview/interoperability/frequently-asked-questions/prior-authorization-api</x:v>
      </x:c>
      <x:c r="D7" s="305" t="str">
        <x:v>Current</x:v>
      </x:c>
      <x:c r="E7" s="341" t="str">
        <x:v>Impacted payers subject to CMS-0057-F</x:v>
      </x:c>
    </x:row>
    <x:row r="8">
      <x:c r="A8" s="335" t="str">
        <x:v>CLHIA</x:v>
      </x:c>
      <x:c r="B8" s="305" t="str">
        <x:v>27M Canadians with workplace health benefits; $53.3B total health claims; $16.6B prescription drugs</x:v>
      </x:c>
      <x:c r="C8" s="305" t="str">
        <x:v>https://www.clhia.ca/en-ca/media-and-publications/news-releases/2025/Claims-in-Canada-rising-143-billion-paid-to-help-keep-canadians-healthy-and-financially-secure</x:v>
      </x:c>
      <x:c r="D8" s="305" t="str">
        <x:v>2024 data</x:v>
      </x:c>
      <x:c r="E8" s="341" t="str">
        <x:v>Used to anchor Canadian private-benefit opportunity</x:v>
      </x:c>
    </x:row>
    <x:row r="9">
      <x:c r="A9" s="335" t="str">
        <x:v>TELUS Health</x:v>
      </x:c>
      <x:c r="B9" s="305" t="str">
        <x:v>Specialty drug claimant and spending concentration</x:v>
      </x:c>
      <x:c r="C9" s="305" t="str">
        <x:v>https://resources.telushealth.com/en-ca/the-2026-drug-data-trends-national-benchmarks-report</x:v>
      </x:c>
      <x:c r="D9" s="305" t="str">
        <x:v>2025 data / 2026 report</x:v>
      </x:c>
      <x:c r="E9" s="341" t="str">
        <x:v>2.1% of claimants; 33.9% of eligible drug-plan amount</x:v>
      </x:c>
    </x:row>
    <x:row r="10">
      <x:c r="A10" s="335" t="str">
        <x:v>CIHI</x:v>
      </x:c>
      <x:c r="B10" s="305" t="str">
        <x:v>Canada physician count</x:v>
      </x:c>
      <x:c r="C10" s="305" t="str">
        <x:v>https://www.cihi.ca/en/a-profile-of-physicians-in-canada</x:v>
      </x:c>
      <x:c r="D10" s="305" t="str">
        <x:v>2024</x:v>
      </x:c>
      <x:c r="E10" s="341" t="str">
        <x:v>99,555 physicians</x:v>
      </x:c>
    </x:row>
    <x:row r="11">
      <x:c r="A11" s="342" t="str">
        <x:v>ClearAuth reference</x:v>
      </x:c>
      <x:c r="B11" s="348" t="str">
        <x:v>Reference product/category supplied by user</x:v>
      </x:c>
      <x:c r="C11" s="348" t="str">
        <x:v>https://clearauthai.com/</x:v>
      </x:c>
      <x:c r="D11" s="348" t="str">
        <x:v>Current</x:v>
      </x:c>
      <x:c r="E11" s="349" t="str">
        <x:v>Used as a product-category reference; workbook pricing is a proposed commercial model, not ClearAuth's published pricing</x:v>
      </x:c>
    </x:row>
    <x:row r="12">
      <x:c r="A12" s="269"/>
      <x:c r="B12" s="269"/>
      <x:c r="C12" s="269"/>
      <x:c r="D12" s="269"/>
      <x:c r="E12" s="269"/>
    </x:row>
    <x:row r="13">
      <x:c r="A13" s="13" t="str">
        <x:v>Modeling Caveats</x:v>
      </x:c>
      <x:c r="B13" s="13"/>
      <x:c r="C13" s="13"/>
      <x:c r="D13" s="13"/>
      <x:c r="E13" s="13"/>
    </x:row>
    <x:row r="14">
      <x:c r="A14" s="327" t="str">
        <x:v>1</x:v>
      </x:c>
      <x:c r="B14" s="333" t="str">
        <x:v>State PA volume</x:v>
      </x:c>
      <x:c r="C14" s="334" t="str">
        <x:v>No authoritative national source publishes actual medical prior-authorization transactions by state. State rows are proportional allocations using insured population.</x:v>
      </x:c>
      <x:c r="D14" s="269"/>
      <x:c r="E14" s="269"/>
    </x:row>
    <x:row r="15">
      <x:c r="A15" s="335" t="str">
        <x:v>2</x:v>
      </x:c>
      <x:c r="B15" s="305" t="str">
        <x:v>TAM pricing</x:v>
      </x:c>
      <x:c r="C15" s="341" t="str">
        <x:v>$4/PA is a management assumption for enterprise-equivalent revenue; change it in Model Inputs to run sensitivity.</x:v>
      </x:c>
      <x:c r="D15" s="269"/>
      <x:c r="E15" s="269"/>
    </x:row>
    <x:row r="16">
      <x:c r="A16" s="335" t="str">
        <x:v>3</x:v>
      </x:c>
      <x:c r="B16" s="305" t="str">
        <x:v>Canada</x:v>
      </x:c>
      <x:c r="C16" s="341" t="str">
        <x:v>Canada lacks an equivalent national medical-PA transaction dataset; the workbook uses scenario-based frequency across workplace-benefit covered lives.</x:v>
      </x:c>
      <x:c r="D16" s="269"/>
      <x:c r="E16" s="269"/>
    </x:row>
    <x:row r="17">
      <x:c r="A17" s="335" t="str">
        <x:v>4</x:v>
      </x:c>
      <x:c r="B17" s="305" t="str">
        <x:v>Break-even</x:v>
      </x:c>
      <x:c r="C17" s="341" t="str">
        <x:v>Primary case treats $3,000/month managed services + cloud as customer revenue because it is framed as a commercial fee. The sensitivity section shows the alternate OPEX interpretation.</x:v>
      </x:c>
      <x:c r="D17" s="269"/>
      <x:c r="E17" s="269"/>
    </x:row>
    <x:row r="18">
      <x:c r="A18" s="342" t="str">
        <x:v>5</x:v>
      </x:c>
      <x:c r="B18" s="348" t="str">
        <x:v>License pricing</x:v>
      </x:c>
      <x:c r="C18" s="349" t="str">
        <x:v>License tiers are proposed pricing, not third-party published pricing. They are intentionally editable for negotiation and GTM planning.</x:v>
      </x:c>
      <x:c r="D18" s="269"/>
      <x:c r="E18" s="269"/>
    </x:row>
    <x:row r="19">
      <x:c r="A19" s="269"/>
      <x:c r="B19" s="269"/>
      <x:c r="C19" s="269"/>
      <x:c r="D19" s="269"/>
      <x:c r="E19" s="269"/>
    </x:row>
    <x:row r="20">
      <x:c r="A20" s="269"/>
      <x:c r="B20" s="269"/>
      <x:c r="C20" s="269"/>
      <x:c r="D20" s="269"/>
      <x:c r="E20" s="269"/>
    </x:row>
  </x:sheetData>
  <x:mergeCells>
    <x:mergeCell ref="A1:E1"/>
    <x:mergeCell ref="A13:E13"/>
  </x:mergeCells>
  <x:pageMargins left="0.7" right="0.7" top="0.75" bottom="0.75" header="0.3" footer="0.3"/>
</x:worksheet>
</file>